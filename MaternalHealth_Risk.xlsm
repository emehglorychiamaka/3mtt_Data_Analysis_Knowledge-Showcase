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emehg\Desktop\3MTT_Data_Analysis\"/>
    </mc:Choice>
  </mc:AlternateContent>
  <xr:revisionPtr revIDLastSave="0" documentId="13_ncr:1_{8FBE4596-AF8A-4D34-87DF-5E9A96C2788A}" xr6:coauthVersionLast="47" xr6:coauthVersionMax="47" xr10:uidLastSave="{00000000-0000-0000-0000-000000000000}"/>
  <bookViews>
    <workbookView xWindow="-110" yWindow="-110" windowWidth="19420" windowHeight="10300" activeTab="1" xr2:uid="{81AAE6C5-B736-4D4C-BE47-5A9B8597F248}"/>
  </bookViews>
  <sheets>
    <sheet name="Form" sheetId="1" r:id="rId1"/>
    <sheet name="MaternalHealth_Extended (2)" sheetId="3" r:id="rId2"/>
    <sheet name="Pivot" sheetId="6" r:id="rId3"/>
    <sheet name="Dashboard" sheetId="5" r:id="rId4"/>
  </sheets>
  <definedNames>
    <definedName name="ExternalData_1" localSheetId="1" hidden="1">'MaternalHealth_Extended (2)'!$A$1:$K$33</definedName>
    <definedName name="Slicer_RiskLevel">#N/A</definedName>
    <definedName name="Slicer_Visit_date">#N/A</definedName>
  </definedNames>
  <calcPr calcId="191029"/>
  <pivotCaches>
    <pivotCache cacheId="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ternalHealth_Extended  2_ae38585f-620a-4d2a-9e2e-2ef017a3e926" name="MaternalHealth_Extended  2" connection="Query - MaternalHealth_Extended (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c r="E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2831BE-4CB0-48C1-BB7E-DA3E4D565ABC}" keepAlive="1" name="ModelConnection_ExternalData_1" description="Data Model" type="5" refreshedVersion="7" minRefreshableVersion="5" saveData="1">
    <dbPr connection="Data Model Connection" command="MaternalHealth_Extended  2" commandType="3"/>
    <extLst>
      <ext xmlns:x15="http://schemas.microsoft.com/office/spreadsheetml/2010/11/main" uri="{DE250136-89BD-433C-8126-D09CA5730AF9}">
        <x15:connection id="" model="1"/>
      </ext>
    </extLst>
  </connection>
  <connection id="2" xr16:uid="{18D7678D-9350-4318-94EB-463A5A44C6C1}" keepAlive="1" interval="2" name="Query - MaternalHealth_Extended" description="Connection to the 'MaternalHealth_Extended' query in the workbook." type="5" refreshedVersion="7" background="1" refreshOnLoad="1" saveData="1">
    <dbPr connection="Provider=Microsoft.Mashup.OleDb.1;Data Source=$Workbook$;Location=MaternalHealth_Extended;Extended Properties=&quot;&quot;" command="SELECT * FROM [MaternalHealth_Extended]"/>
  </connection>
  <connection id="3" xr16:uid="{0E8FA3CE-7A4D-40E1-801F-B9224850D73C}" interval="2" name="Query - MaternalHealth_Extended (2)" description="Connection to the 'MaternalHealth_Extended (2)' query in the workbook." type="100" refreshedVersion="7" minRefreshableVersion="5" refreshOnLoad="1" saveData="1">
    <extLst>
      <ext xmlns:x15="http://schemas.microsoft.com/office/spreadsheetml/2010/11/main" uri="{DE250136-89BD-433C-8126-D09CA5730AF9}">
        <x15:connection id="b0c8bd46-4463-439e-9db4-aa926ab41ca7"/>
      </ext>
    </extLst>
  </connection>
  <connection id="4" xr16:uid="{675D96AA-1A12-46F9-8135-F697F9247C6E}"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<sst xmlns="http://schemas.openxmlformats.org/spreadsheetml/2006/main" count="163" uniqueCount="52">
  <si>
    <t>Surname</t>
  </si>
  <si>
    <t>Names</t>
  </si>
  <si>
    <t>Age</t>
  </si>
  <si>
    <t>SystollicBP</t>
  </si>
  <si>
    <t>DiastolicBP</t>
  </si>
  <si>
    <t>BS</t>
  </si>
  <si>
    <t>BodyTemp</t>
  </si>
  <si>
    <t>HeartRate</t>
  </si>
  <si>
    <t>Visit_Date</t>
  </si>
  <si>
    <t>ID</t>
  </si>
  <si>
    <t>SystolicBP</t>
  </si>
  <si>
    <t>Visit_date</t>
  </si>
  <si>
    <t>RiskLevel</t>
  </si>
  <si>
    <t>Emeh</t>
  </si>
  <si>
    <t>Glory</t>
  </si>
  <si>
    <t>low risk</t>
  </si>
  <si>
    <t>Mid risk</t>
  </si>
  <si>
    <t>Onyema</t>
  </si>
  <si>
    <t>Ngozi</t>
  </si>
  <si>
    <t>Grand Total</t>
  </si>
  <si>
    <t/>
  </si>
  <si>
    <t>Risk Level</t>
  </si>
  <si>
    <t>High risk</t>
  </si>
  <si>
    <t>Anayanti</t>
  </si>
  <si>
    <t>Chinatu</t>
  </si>
  <si>
    <t>Maternal Health Risk Level Predictor</t>
  </si>
  <si>
    <t>Onyeoma</t>
  </si>
  <si>
    <t>Ugonma</t>
  </si>
  <si>
    <t>Kanu</t>
  </si>
  <si>
    <t>Ogbenne</t>
  </si>
  <si>
    <t>Reuben</t>
  </si>
  <si>
    <t>ihunanya</t>
  </si>
  <si>
    <t>Count of RiskLevel</t>
  </si>
  <si>
    <t>Average of Age</t>
  </si>
  <si>
    <t>Average of BS</t>
  </si>
  <si>
    <t>Average of SystolicBP</t>
  </si>
  <si>
    <t>Average of DiastolicBP</t>
  </si>
  <si>
    <t>Average of BodyTemp</t>
  </si>
  <si>
    <t>Count by Risk Level</t>
  </si>
  <si>
    <t>Risk Level by average Age</t>
  </si>
  <si>
    <t>Average BS by Risk Level</t>
  </si>
  <si>
    <t>Average BodyTemp by Risk Level</t>
  </si>
  <si>
    <t>Average Vital Signs by Risk Level</t>
  </si>
  <si>
    <t>Average of HeartRate</t>
  </si>
  <si>
    <t>Visit Date</t>
  </si>
  <si>
    <t>Risk Level Trend</t>
  </si>
  <si>
    <t>Total Number of Patients</t>
  </si>
  <si>
    <t>Average Age</t>
  </si>
  <si>
    <t>Distinct count of Risk Level</t>
  </si>
  <si>
    <t>Ikechi</t>
  </si>
  <si>
    <t>Nneoma</t>
  </si>
  <si>
    <t>Prediction Risk Level result: Mid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</si>
</sst>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sz val="12"/>
      <color theme="4" tint="-0.249977111117893"/>
      <name val="Calibri"/>
      <family val="2"/>
      <scheme val="minor"/>
    </font>
    <font>
      <b/>
      <sz val="11"/>
      <color theme="1"/>
      <name val="Calibri"/>
      <family val="2"/>
      <scheme val="minor"/>
    </font>
  </fonts>
  <fills count="5">
    <fill>
      <patternFill patternType="none"/>
    </fill>
    <fill>
      <patternFill patternType="gray125"/>
    </fill>
    <fill>
      <patternFill patternType="solid">
        <fgColor theme="3" tint="0.39997558519241921"/>
        <bgColor indexed="64"/>
      </patternFill>
    </fill>
    <fill>
      <patternFill patternType="solid">
        <fgColor theme="1" tint="0.34998626667073579"/>
        <bgColor indexed="64"/>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0" fillId="0" borderId="1" xfId="0" applyBorder="1"/>
    <xf numFmtId="0" fontId="0" fillId="0" borderId="0" xfId="0" applyBorder="1"/>
    <xf numFmtId="0" fontId="0" fillId="0" borderId="0" xfId="0" applyNumberFormat="1"/>
    <xf numFmtId="14" fontId="0" fillId="0" borderId="0" xfId="0" applyNumberFormat="1"/>
    <xf numFmtId="14" fontId="0" fillId="0" borderId="1" xfId="0" applyNumberFormat="1" applyBorder="1"/>
    <xf numFmtId="0" fontId="0" fillId="0" borderId="1" xfId="0" applyNumberFormat="1" applyBorder="1"/>
    <xf numFmtId="1" fontId="0" fillId="0" borderId="1" xfId="0" applyNumberFormat="1" applyBorder="1"/>
    <xf numFmtId="0" fontId="0" fillId="0" borderId="0" xfId="0" pivotButton="1"/>
    <xf numFmtId="0" fontId="0" fillId="0" borderId="0" xfId="0" applyAlignment="1">
      <alignment horizontal="left"/>
    </xf>
    <xf numFmtId="1" fontId="0" fillId="0" borderId="0" xfId="0" applyNumberFormat="1"/>
    <xf numFmtId="0" fontId="2" fillId="2" borderId="0" xfId="0" applyFont="1" applyFill="1" applyAlignment="1">
      <alignment horizontal="center" vertical="center"/>
    </xf>
    <xf numFmtId="0" fontId="3" fillId="0" borderId="0" xfId="0" applyFont="1" applyAlignment="1">
      <alignment horizontal="center"/>
    </xf>
    <xf numFmtId="14" fontId="0" fillId="0" borderId="0" xfId="0" applyNumberFormat="1" applyAlignment="1">
      <alignment horizontal="left"/>
    </xf>
    <xf numFmtId="0" fontId="0" fillId="3" borderId="0" xfId="0" applyFill="1"/>
    <xf numFmtId="0" fontId="3" fillId="0" borderId="0" xfId="0" applyFont="1" applyAlignment="1">
      <alignment horizontal="center" wrapText="1"/>
    </xf>
    <xf numFmtId="0" fontId="3" fillId="0" borderId="0" xfId="0" applyFont="1" applyAlignment="1">
      <alignment horizontal="center" vertical="center"/>
    </xf>
    <xf numFmtId="0" fontId="3" fillId="0" borderId="0" xfId="0" applyFont="1" applyAlignment="1">
      <alignment horizontal="center" vertical="center" wrapText="1"/>
    </xf>
    <xf numFmtId="0" fontId="0" fillId="4" borderId="0" xfId="0" applyFill="1"/>
  </cellXfs>
  <cellStyles count="1">
    <cellStyle name="Normal" xfId="0" builtinId="0"/>
  </cellStyles>
  <dxfs count="4">
    <dxf>
      <numFmt numFmtId="0" formatCode="General"/>
    </dxf>
    <dxf>
      <numFmt numFmtId="19" formatCode="dd/mm/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[MaternalHealth_Risk.xlsm]Pivot!PivotTable1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Risk</a:t>
            </a:r>
            <a:r>
              <a:rPr lang="en-US" sz="1600" b="1" baseline="0"/>
              <a:t> Level Count</a:t>
            </a:r>
            <a:endParaRPr lang="en-US" sz="1600" b="1"/>
          </a:p>
        </c:rich>
      </c:tx>
      <c:layout>
        <c:manualLayout>
          <c:xMode val="edge"/>
          <c:yMode val="edge"/>
          <c:x val="0.22805281319530493"/>
          <c:y val="4.900644700965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0A-42AE-912C-61811ED4AF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0A-42AE-912C-61811ED4AF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0A-42AE-912C-61811ED4AF5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Pivot!$A$6:$A$9</c:f>
              <c:strCache>
                <c:ptCount val="3"/>
                <c:pt idx="0">
                  <c:v>High risk</c:v>
                </c:pt>
                <c:pt idx="1">
                  <c:v>low risk</c:v>
                </c:pt>
                <c:pt idx="2">
                  <c:v>Mid risk</c:v>
                </c:pt>
              </c:strCache>
            </c:strRef>
          </c:cat>
          <c:val>
            <c:numRef>
              <c:f>Pivot!$B$6:$B$9</c:f>
              <c:numCache>
                <c:formatCode>General</c:formatCode>
                <c:ptCount val="3"/>
                <c:pt idx="0">
                  <c:v>1</c:v>
                </c:pt>
                <c:pt idx="1">
                  <c:v>9</c:v>
                </c:pt>
                <c:pt idx="2">
                  <c:v>4</c:v>
                </c:pt>
              </c:numCache>
            </c:numRef>
          </c:val>
          <c:extLst>
            <c:ext xmlns:c16="http://schemas.microsoft.com/office/drawing/2014/chart" uri="{C3380CC4-5D6E-409C-BE32-E72D297353CC}">
              <c16:uniqueId val="{00000006-BA0A-42AE-912C-61811ED4AF5C}"/>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[MaternalHealth_Risk.xlsm]Pivot!PivotTable2</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a:t>
            </a:r>
            <a:r>
              <a:rPr lang="en-US" sz="1600" b="1" baseline="0"/>
              <a:t> Age by Risk Level</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43638555163966E-2"/>
          <c:y val="0.21238372093023258"/>
          <c:w val="0.88363017018879297"/>
          <c:h val="0.63530076908991029"/>
        </c:manualLayout>
      </c:layout>
      <c:barChart>
        <c:barDir val="col"/>
        <c:grouping val="clustered"/>
        <c:varyColors val="0"/>
        <c:ser>
          <c:idx val="0"/>
          <c:order val="0"/>
          <c:tx>
            <c:strRef>
              <c:f>Pivot!$E$5</c:f>
              <c:strCache>
                <c:ptCount val="1"/>
                <c:pt idx="0">
                  <c:v>Total</c:v>
                </c:pt>
              </c:strCache>
            </c:strRef>
          </c:tx>
          <c:spPr>
            <a:solidFill>
              <a:schemeClr val="accent1"/>
            </a:solidFill>
            <a:ln>
              <a:noFill/>
            </a:ln>
            <a:effectLst/>
          </c:spPr>
          <c:invertIfNegative val="0"/>
          <c:cat>
            <c:strRef>
              <c:f>Pivot!$D$6:$D$9</c:f>
              <c:strCache>
                <c:ptCount val="3"/>
                <c:pt idx="0">
                  <c:v>High risk</c:v>
                </c:pt>
                <c:pt idx="1">
                  <c:v>low risk</c:v>
                </c:pt>
                <c:pt idx="2">
                  <c:v>Mid risk</c:v>
                </c:pt>
              </c:strCache>
            </c:strRef>
          </c:cat>
          <c:val>
            <c:numRef>
              <c:f>Pivot!$E$6:$E$9</c:f>
              <c:numCache>
                <c:formatCode>0</c:formatCode>
                <c:ptCount val="3"/>
                <c:pt idx="0">
                  <c:v>53</c:v>
                </c:pt>
                <c:pt idx="1">
                  <c:v>1.4444444444444444</c:v>
                </c:pt>
                <c:pt idx="2">
                  <c:v>40.25</c:v>
                </c:pt>
              </c:numCache>
            </c:numRef>
          </c:val>
          <c:extLst>
            <c:ext xmlns:c16="http://schemas.microsoft.com/office/drawing/2014/chart" uri="{C3380CC4-5D6E-409C-BE32-E72D297353CC}">
              <c16:uniqueId val="{00000000-E366-452C-82DB-2E569D3589A9}"/>
            </c:ext>
          </c:extLst>
        </c:ser>
        <c:dLbls>
          <c:showLegendKey val="0"/>
          <c:showVal val="0"/>
          <c:showCatName val="0"/>
          <c:showSerName val="0"/>
          <c:showPercent val="0"/>
          <c:showBubbleSize val="0"/>
        </c:dLbls>
        <c:gapWidth val="219"/>
        <c:overlap val="-27"/>
        <c:axId val="202389152"/>
        <c:axId val="202384576"/>
      </c:barChart>
      <c:catAx>
        <c:axId val="20238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2384576"/>
        <c:crosses val="autoZero"/>
        <c:auto val="1"/>
        <c:lblAlgn val="ctr"/>
        <c:lblOffset val="100"/>
        <c:noMultiLvlLbl val="0"/>
      </c:catAx>
      <c:valAx>
        <c:axId val="20238457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02389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[MaternalHealth_Risk.xlsm]Pivot!PivotTable4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Average Vital Signs by Risk Level</a:t>
            </a:r>
            <a:r>
              <a:rPr lang="en-US" sz="1400" b="0" i="0" u="none" strike="noStrike"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Pivot!$E$13</c:f>
              <c:strCache>
                <c:ptCount val="1"/>
                <c:pt idx="0">
                  <c:v>Average of SystolicBP</c:v>
                </c:pt>
              </c:strCache>
            </c:strRef>
          </c:tx>
          <c:spPr>
            <a:solidFill>
              <a:schemeClr val="accent1"/>
            </a:solidFill>
            <a:ln>
              <a:noFill/>
            </a:ln>
            <a:effectLst/>
          </c:spPr>
          <c:invertIfNegative val="0"/>
          <c:cat>
            <c:strRef>
              <c:f>Pivot!$D$14:$D$17</c:f>
              <c:strCache>
                <c:ptCount val="3"/>
                <c:pt idx="0">
                  <c:v>High risk</c:v>
                </c:pt>
                <c:pt idx="1">
                  <c:v>low risk</c:v>
                </c:pt>
                <c:pt idx="2">
                  <c:v>Mid risk</c:v>
                </c:pt>
              </c:strCache>
            </c:strRef>
          </c:cat>
          <c:val>
            <c:numRef>
              <c:f>Pivot!$E$14:$E$17</c:f>
              <c:numCache>
                <c:formatCode>0</c:formatCode>
                <c:ptCount val="3"/>
                <c:pt idx="0">
                  <c:v>150</c:v>
                </c:pt>
                <c:pt idx="1">
                  <c:v>13.333333333333334</c:v>
                </c:pt>
                <c:pt idx="2">
                  <c:v>157.5</c:v>
                </c:pt>
              </c:numCache>
            </c:numRef>
          </c:val>
          <c:extLst>
            <c:ext xmlns:c16="http://schemas.microsoft.com/office/drawing/2014/chart" uri="{C3380CC4-5D6E-409C-BE32-E72D297353CC}">
              <c16:uniqueId val="{00000000-E8FA-4DED-9A18-BD033AAE9103}"/>
            </c:ext>
          </c:extLst>
        </c:ser>
        <c:ser>
          <c:idx val="1"/>
          <c:order val="1"/>
          <c:tx>
            <c:strRef>
              <c:f>Pivot!$F$13</c:f>
              <c:strCache>
                <c:ptCount val="1"/>
                <c:pt idx="0">
                  <c:v>Average of BodyTemp</c:v>
                </c:pt>
              </c:strCache>
            </c:strRef>
          </c:tx>
          <c:spPr>
            <a:solidFill>
              <a:schemeClr val="accent2"/>
            </a:solidFill>
            <a:ln>
              <a:noFill/>
            </a:ln>
            <a:effectLst/>
          </c:spPr>
          <c:invertIfNegative val="0"/>
          <c:cat>
            <c:strRef>
              <c:f>Pivot!$D$14:$D$17</c:f>
              <c:strCache>
                <c:ptCount val="3"/>
                <c:pt idx="0">
                  <c:v>High risk</c:v>
                </c:pt>
                <c:pt idx="1">
                  <c:v>low risk</c:v>
                </c:pt>
                <c:pt idx="2">
                  <c:v>Mid risk</c:v>
                </c:pt>
              </c:strCache>
            </c:strRef>
          </c:cat>
          <c:val>
            <c:numRef>
              <c:f>Pivot!$F$14:$F$17</c:f>
              <c:numCache>
                <c:formatCode>0</c:formatCode>
                <c:ptCount val="3"/>
                <c:pt idx="0">
                  <c:v>37</c:v>
                </c:pt>
                <c:pt idx="1">
                  <c:v>4</c:v>
                </c:pt>
                <c:pt idx="2">
                  <c:v>38</c:v>
                </c:pt>
              </c:numCache>
            </c:numRef>
          </c:val>
          <c:extLst>
            <c:ext xmlns:c16="http://schemas.microsoft.com/office/drawing/2014/chart" uri="{C3380CC4-5D6E-409C-BE32-E72D297353CC}">
              <c16:uniqueId val="{00000001-E8FA-4DED-9A18-BD033AAE9103}"/>
            </c:ext>
          </c:extLst>
        </c:ser>
        <c:ser>
          <c:idx val="2"/>
          <c:order val="2"/>
          <c:tx>
            <c:strRef>
              <c:f>Pivot!$G$13</c:f>
              <c:strCache>
                <c:ptCount val="1"/>
                <c:pt idx="0">
                  <c:v>Average of HeartRate</c:v>
                </c:pt>
              </c:strCache>
            </c:strRef>
          </c:tx>
          <c:spPr>
            <a:solidFill>
              <a:schemeClr val="accent3"/>
            </a:solidFill>
            <a:ln>
              <a:noFill/>
            </a:ln>
            <a:effectLst/>
          </c:spPr>
          <c:invertIfNegative val="0"/>
          <c:cat>
            <c:strRef>
              <c:f>Pivot!$D$14:$D$17</c:f>
              <c:strCache>
                <c:ptCount val="3"/>
                <c:pt idx="0">
                  <c:v>High risk</c:v>
                </c:pt>
                <c:pt idx="1">
                  <c:v>low risk</c:v>
                </c:pt>
                <c:pt idx="2">
                  <c:v>Mid risk</c:v>
                </c:pt>
              </c:strCache>
            </c:strRef>
          </c:cat>
          <c:val>
            <c:numRef>
              <c:f>Pivot!$G$14:$G$17</c:f>
              <c:numCache>
                <c:formatCode>0</c:formatCode>
                <c:ptCount val="3"/>
                <c:pt idx="0">
                  <c:v>100</c:v>
                </c:pt>
                <c:pt idx="1">
                  <c:v>11.111111111111111</c:v>
                </c:pt>
                <c:pt idx="2">
                  <c:v>105</c:v>
                </c:pt>
              </c:numCache>
            </c:numRef>
          </c:val>
          <c:extLst>
            <c:ext xmlns:c16="http://schemas.microsoft.com/office/drawing/2014/chart" uri="{C3380CC4-5D6E-409C-BE32-E72D297353CC}">
              <c16:uniqueId val="{00000002-E8FA-4DED-9A18-BD033AAE9103}"/>
            </c:ext>
          </c:extLst>
        </c:ser>
        <c:ser>
          <c:idx val="3"/>
          <c:order val="3"/>
          <c:tx>
            <c:strRef>
              <c:f>Pivot!$H$13</c:f>
              <c:strCache>
                <c:ptCount val="1"/>
                <c:pt idx="0">
                  <c:v>Average of DiastolicBP</c:v>
                </c:pt>
              </c:strCache>
            </c:strRef>
          </c:tx>
          <c:spPr>
            <a:solidFill>
              <a:schemeClr val="accent4"/>
            </a:solidFill>
            <a:ln>
              <a:noFill/>
            </a:ln>
            <a:effectLst/>
          </c:spPr>
          <c:invertIfNegative val="0"/>
          <c:cat>
            <c:strRef>
              <c:f>Pivot!$D$14:$D$17</c:f>
              <c:strCache>
                <c:ptCount val="3"/>
                <c:pt idx="0">
                  <c:v>High risk</c:v>
                </c:pt>
                <c:pt idx="1">
                  <c:v>low risk</c:v>
                </c:pt>
                <c:pt idx="2">
                  <c:v>Mid risk</c:v>
                </c:pt>
              </c:strCache>
            </c:strRef>
          </c:cat>
          <c:val>
            <c:numRef>
              <c:f>Pivot!$H$14:$H$17</c:f>
              <c:numCache>
                <c:formatCode>0</c:formatCode>
                <c:ptCount val="3"/>
                <c:pt idx="0">
                  <c:v>97</c:v>
                </c:pt>
                <c:pt idx="1">
                  <c:v>8.7777777777777786</c:v>
                </c:pt>
                <c:pt idx="2">
                  <c:v>95.25</c:v>
                </c:pt>
              </c:numCache>
            </c:numRef>
          </c:val>
          <c:extLst>
            <c:ext xmlns:c16="http://schemas.microsoft.com/office/drawing/2014/chart" uri="{C3380CC4-5D6E-409C-BE32-E72D297353CC}">
              <c16:uniqueId val="{00000003-E8FA-4DED-9A18-BD033AAE9103}"/>
            </c:ext>
          </c:extLst>
        </c:ser>
        <c:dLbls>
          <c:showLegendKey val="0"/>
          <c:showVal val="0"/>
          <c:showCatName val="0"/>
          <c:showSerName val="0"/>
          <c:showPercent val="0"/>
          <c:showBubbleSize val="0"/>
        </c:dLbls>
        <c:gapWidth val="219"/>
        <c:overlap val="-27"/>
        <c:axId val="295951824"/>
        <c:axId val="295953072"/>
      </c:barChart>
      <c:catAx>
        <c:axId val="29595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95953072"/>
        <c:crosses val="autoZero"/>
        <c:auto val="1"/>
        <c:lblAlgn val="ctr"/>
        <c:lblOffset val="100"/>
        <c:noMultiLvlLbl val="0"/>
      </c:catAx>
      <c:valAx>
        <c:axId val="29595307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9595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[MaternalHealth_Risk.xlsm]Pivot!PivotTable6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Risk</a:t>
            </a:r>
            <a:r>
              <a:rPr lang="en-US" sz="1600" b="1" baseline="0"/>
              <a:t> Level Trend</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Pivot!$E$21</c:f>
              <c:strCache>
                <c:ptCount val="1"/>
                <c:pt idx="0">
                  <c:v>Total</c:v>
                </c:pt>
              </c:strCache>
            </c:strRef>
          </c:tx>
          <c:spPr>
            <a:ln w="28575" cap="rnd">
              <a:solidFill>
                <a:schemeClr val="accent1"/>
              </a:solidFill>
              <a:round/>
            </a:ln>
            <a:effectLst/>
          </c:spPr>
          <c:marker>
            <c:symbol val="none"/>
          </c:marker>
          <c:cat>
            <c:strRef>
              <c:f>Pivot!$D$22:$D$23</c:f>
              <c:strCache>
                <c:ptCount val="1"/>
                <c:pt idx="0">
                  <c:v>26/06/2025</c:v>
                </c:pt>
              </c:strCache>
            </c:strRef>
          </c:cat>
          <c:val>
            <c:numRef>
              <c:f>Pivot!$E$22:$E$23</c:f>
              <c:numCache>
                <c:formatCode>General</c:formatCode>
                <c:ptCount val="1"/>
                <c:pt idx="0">
                  <c:v>14</c:v>
                </c:pt>
              </c:numCache>
            </c:numRef>
          </c:val>
          <c:smooth val="0"/>
          <c:extLst>
            <c:ext xmlns:c16="http://schemas.microsoft.com/office/drawing/2014/chart" uri="{C3380CC4-5D6E-409C-BE32-E72D297353CC}">
              <c16:uniqueId val="{00000000-F415-472B-B696-E39E2E10FE5B}"/>
            </c:ext>
          </c:extLst>
        </c:ser>
        <c:dLbls>
          <c:showLegendKey val="0"/>
          <c:showVal val="0"/>
          <c:showCatName val="0"/>
          <c:showSerName val="0"/>
          <c:showPercent val="0"/>
          <c:showBubbleSize val="0"/>
        </c:dLbls>
        <c:smooth val="0"/>
        <c:axId val="295944336"/>
        <c:axId val="295950160"/>
      </c:lineChart>
      <c:catAx>
        <c:axId val="29594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95950160"/>
        <c:crosses val="autoZero"/>
        <c:auto val="1"/>
        <c:lblAlgn val="ctr"/>
        <c:lblOffset val="100"/>
        <c:noMultiLvlLbl val="0"/>
      </c:catAx>
      <c:valAx>
        <c:axId val="295950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295944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12</xdr:row>
          <xdr:rowOff>57150</xdr:rowOff>
        </xdr:from>
        <xdr:to>
          <xdr:col>0</xdr:col>
          <xdr:colOff>1225550</xdr:colOff>
          <xdr:row>14</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G" sz="1100" b="0" i="0" u="none" strike="noStrike" baseline="0">
                  <a:solidFill>
                    <a:srgbClr val="000000"/>
                  </a:solidFill>
                  <a:latin typeface="Calibri"/>
                  <a:ea typeface="Calibri"/>
                  <a:cs typeface="Calibri"/>
                </a:rPr>
                <a:t>Submit &amp; Predict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355600</xdr:colOff>
      <xdr:row>5</xdr:row>
      <xdr:rowOff>38100</xdr:rowOff>
    </xdr:to>
    <xdr:sp macro="" textlink="">
      <xdr:nvSpPr>
        <xdr:cNvPr id="2" name="Rectangle: Rounded Corners 1">
          <a:extLst>
            <a:ext uri="{FF2B5EF4-FFF2-40B4-BE49-F238E27FC236}">
              <a16:creationId xmlns:a16="http://schemas.microsoft.com/office/drawing/2014/main" id="{8CA21934-5C59-4748-8374-3C901E2EC349}"/>
            </a:ext>
          </a:extLst>
        </xdr:cNvPr>
        <xdr:cNvSpPr/>
      </xdr:nvSpPr>
      <xdr:spPr>
        <a:xfrm>
          <a:off x="0" y="0"/>
          <a:ext cx="14376400" cy="958850"/>
        </a:xfrm>
        <a:prstGeom prst="roundRect">
          <a:avLst/>
        </a:prstGeom>
        <a:solidFill>
          <a:schemeClr val="tx2">
            <a:lumMod val="40000"/>
            <a:lumOff val="6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31750</xdr:colOff>
      <xdr:row>5</xdr:row>
      <xdr:rowOff>0</xdr:rowOff>
    </xdr:from>
    <xdr:to>
      <xdr:col>2</xdr:col>
      <xdr:colOff>355600</xdr:colOff>
      <xdr:row>26</xdr:row>
      <xdr:rowOff>139700</xdr:rowOff>
    </xdr:to>
    <xdr:sp macro="" textlink="">
      <xdr:nvSpPr>
        <xdr:cNvPr id="3" name="Rectangle: Rounded Corners 2">
          <a:extLst>
            <a:ext uri="{FF2B5EF4-FFF2-40B4-BE49-F238E27FC236}">
              <a16:creationId xmlns:a16="http://schemas.microsoft.com/office/drawing/2014/main" id="{499C33CD-B133-4B1F-B5CA-5AABBD255F16}"/>
            </a:ext>
          </a:extLst>
        </xdr:cNvPr>
        <xdr:cNvSpPr/>
      </xdr:nvSpPr>
      <xdr:spPr>
        <a:xfrm>
          <a:off x="31750" y="920750"/>
          <a:ext cx="1543050" cy="4006850"/>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oneCellAnchor>
    <xdr:from>
      <xdr:col>3</xdr:col>
      <xdr:colOff>209550</xdr:colOff>
      <xdr:row>0</xdr:row>
      <xdr:rowOff>76200</xdr:rowOff>
    </xdr:from>
    <xdr:ext cx="2159000" cy="857250"/>
    <xdr:sp macro="" textlink="">
      <xdr:nvSpPr>
        <xdr:cNvPr id="4" name="TextBox 3">
          <a:extLst>
            <a:ext uri="{FF2B5EF4-FFF2-40B4-BE49-F238E27FC236}">
              <a16:creationId xmlns:a16="http://schemas.microsoft.com/office/drawing/2014/main" id="{D7F54BD4-8E1C-4224-9DC1-115B6F9C4A4A}"/>
            </a:ext>
          </a:extLst>
        </xdr:cNvPr>
        <xdr:cNvSpPr txBox="1"/>
      </xdr:nvSpPr>
      <xdr:spPr>
        <a:xfrm>
          <a:off x="2038350" y="76200"/>
          <a:ext cx="2159000" cy="857250"/>
        </a:xfrm>
        <a:prstGeom prst="rect">
          <a:avLst/>
        </a:prstGeom>
        <a:solidFill>
          <a:schemeClr val="tx2">
            <a:lumMod val="40000"/>
            <a:lumOff val="60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scene3d>
            <a:camera prst="orthographicFront"/>
            <a:lightRig rig="threePt" dir="t"/>
          </a:scene3d>
          <a:sp3d extrusionH="57150">
            <a:bevelT w="38100" h="38100"/>
          </a:sp3d>
        </a:bodyPr>
        <a:lstStyle/>
        <a:p>
          <a:pPr algn="ctr"/>
          <a:r>
            <a:rPr lang="en-US" sz="1600" b="1">
              <a:ln>
                <a:noFill/>
              </a:ln>
              <a:solidFill>
                <a:schemeClr val="accent1">
                  <a:lumMod val="50000"/>
                </a:schemeClr>
              </a:solidFill>
            </a:rPr>
            <a:t>Maternal Health Risk</a:t>
          </a:r>
          <a:r>
            <a:rPr lang="en-US" sz="1600" b="1" baseline="0">
              <a:ln>
                <a:noFill/>
              </a:ln>
              <a:solidFill>
                <a:schemeClr val="accent1">
                  <a:lumMod val="50000"/>
                </a:schemeClr>
              </a:solidFill>
            </a:rPr>
            <a:t> Level Analytics DashBoard</a:t>
          </a:r>
          <a:endParaRPr lang="en-NG" sz="1600" b="1">
            <a:ln>
              <a:noFill/>
            </a:ln>
            <a:solidFill>
              <a:schemeClr val="accent1">
                <a:lumMod val="50000"/>
              </a:schemeClr>
            </a:solidFill>
          </a:endParaRPr>
        </a:p>
      </xdr:txBody>
    </xdr:sp>
    <xdr:clientData/>
  </xdr:oneCellAnchor>
  <xdr:twoCellAnchor editAs="oneCell">
    <xdr:from>
      <xdr:col>0</xdr:col>
      <xdr:colOff>95250</xdr:colOff>
      <xdr:row>13</xdr:row>
      <xdr:rowOff>38100</xdr:rowOff>
    </xdr:from>
    <xdr:to>
      <xdr:col>2</xdr:col>
      <xdr:colOff>241300</xdr:colOff>
      <xdr:row>19</xdr:row>
      <xdr:rowOff>95250</xdr:rowOff>
    </xdr:to>
    <mc:AlternateContent xmlns:mc="http://schemas.openxmlformats.org/markup-compatibility/2006">
      <mc:Choice xmlns:a14="http://schemas.microsoft.com/office/drawing/2010/main" Requires="a14">
        <xdr:graphicFrame macro="">
          <xdr:nvGraphicFramePr>
            <xdr:cNvPr id="5" name="RiskLevel">
              <a:extLst>
                <a:ext uri="{FF2B5EF4-FFF2-40B4-BE49-F238E27FC236}">
                  <a16:creationId xmlns:a16="http://schemas.microsoft.com/office/drawing/2014/main" id="{EE63F0BA-A29B-4B20-8656-E347738EB8F9}"/>
                </a:ext>
              </a:extLst>
            </xdr:cNvPr>
            <xdr:cNvGraphicFramePr/>
          </xdr:nvGraphicFramePr>
          <xdr:xfrm>
            <a:off x="0" y="0"/>
            <a:ext cx="0" cy="0"/>
          </xdr:xfrm>
          <a:graphic>
            <a:graphicData uri="http://schemas.microsoft.com/office/drawing/2010/slicer">
              <sle:slicer xmlns:sle="http://schemas.microsoft.com/office/drawing/2010/slicer" name="RiskLevel"/>
            </a:graphicData>
          </a:graphic>
        </xdr:graphicFrame>
      </mc:Choice>
      <mc:Fallback>
        <xdr:sp macro="" textlink="">
          <xdr:nvSpPr>
            <xdr:cNvPr id="0" name=""/>
            <xdr:cNvSpPr>
              <a:spLocks noTextEdit="1"/>
            </xdr:cNvSpPr>
          </xdr:nvSpPr>
          <xdr:spPr>
            <a:xfrm>
              <a:off x="95250" y="2432050"/>
              <a:ext cx="1365250" cy="11620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6</xdr:row>
      <xdr:rowOff>82550</xdr:rowOff>
    </xdr:from>
    <xdr:to>
      <xdr:col>2</xdr:col>
      <xdr:colOff>234950</xdr:colOff>
      <xdr:row>12</xdr:row>
      <xdr:rowOff>101600</xdr:rowOff>
    </xdr:to>
    <mc:AlternateContent xmlns:mc="http://schemas.openxmlformats.org/markup-compatibility/2006">
      <mc:Choice xmlns:a14="http://schemas.microsoft.com/office/drawing/2010/main" Requires="a14">
        <xdr:graphicFrame macro="">
          <xdr:nvGraphicFramePr>
            <xdr:cNvPr id="6" name="Visit_date">
              <a:extLst>
                <a:ext uri="{FF2B5EF4-FFF2-40B4-BE49-F238E27FC236}">
                  <a16:creationId xmlns:a16="http://schemas.microsoft.com/office/drawing/2014/main" id="{93E9F72F-3E7B-4151-BA27-82AE56DB2CFB}"/>
                </a:ext>
              </a:extLst>
            </xdr:cNvPr>
            <xdr:cNvGraphicFramePr/>
          </xdr:nvGraphicFramePr>
          <xdr:xfrm>
            <a:off x="0" y="0"/>
            <a:ext cx="0" cy="0"/>
          </xdr:xfrm>
          <a:graphic>
            <a:graphicData uri="http://schemas.microsoft.com/office/drawing/2010/slicer">
              <sle:slicer xmlns:sle="http://schemas.microsoft.com/office/drawing/2010/slicer" name="Visit_date"/>
            </a:graphicData>
          </a:graphic>
        </xdr:graphicFrame>
      </mc:Choice>
      <mc:Fallback>
        <xdr:sp macro="" textlink="">
          <xdr:nvSpPr>
            <xdr:cNvPr id="0" name=""/>
            <xdr:cNvSpPr>
              <a:spLocks noTextEdit="1"/>
            </xdr:cNvSpPr>
          </xdr:nvSpPr>
          <xdr:spPr>
            <a:xfrm>
              <a:off x="114300" y="1187450"/>
              <a:ext cx="1339850" cy="11239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196851</xdr:colOff>
      <xdr:row>0</xdr:row>
      <xdr:rowOff>0</xdr:rowOff>
    </xdr:from>
    <xdr:to>
      <xdr:col>3</xdr:col>
      <xdr:colOff>6350</xdr:colOff>
      <xdr:row>4</xdr:row>
      <xdr:rowOff>146050</xdr:rowOff>
    </xdr:to>
    <xdr:pic>
      <xdr:nvPicPr>
        <xdr:cNvPr id="8" name="Picture 7">
          <a:extLst>
            <a:ext uri="{FF2B5EF4-FFF2-40B4-BE49-F238E27FC236}">
              <a16:creationId xmlns:a16="http://schemas.microsoft.com/office/drawing/2014/main" id="{95693A81-42F8-4E21-9898-E1ED605A40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6851" y="0"/>
          <a:ext cx="1638299" cy="882650"/>
        </a:xfrm>
        <a:prstGeom prst="rect">
          <a:avLst/>
        </a:prstGeom>
      </xdr:spPr>
    </xdr:pic>
    <xdr:clientData/>
  </xdr:twoCellAnchor>
  <xdr:oneCellAnchor>
    <xdr:from>
      <xdr:col>8</xdr:col>
      <xdr:colOff>241300</xdr:colOff>
      <xdr:row>0</xdr:row>
      <xdr:rowOff>57150</xdr:rowOff>
    </xdr:from>
    <xdr:ext cx="1314450" cy="336550"/>
    <xdr:sp macro="" textlink="">
      <xdr:nvSpPr>
        <xdr:cNvPr id="9" name="TextBox 8">
          <a:extLst>
            <a:ext uri="{FF2B5EF4-FFF2-40B4-BE49-F238E27FC236}">
              <a16:creationId xmlns:a16="http://schemas.microsoft.com/office/drawing/2014/main" id="{C7A68F16-FC6F-4BEC-87B3-8C6FA6F39AEE}"/>
            </a:ext>
          </a:extLst>
        </xdr:cNvPr>
        <xdr:cNvSpPr txBox="1"/>
      </xdr:nvSpPr>
      <xdr:spPr>
        <a:xfrm>
          <a:off x="5118100" y="57150"/>
          <a:ext cx="1314450" cy="336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1"/>
            <a:t>Total Patients</a:t>
          </a:r>
          <a:endParaRPr lang="en-NG" sz="1400" b="1"/>
        </a:p>
      </xdr:txBody>
    </xdr:sp>
    <xdr:clientData/>
  </xdr:oneCellAnchor>
  <xdr:oneCellAnchor>
    <xdr:from>
      <xdr:col>8</xdr:col>
      <xdr:colOff>368300</xdr:colOff>
      <xdr:row>2</xdr:row>
      <xdr:rowOff>44450</xdr:rowOff>
    </xdr:from>
    <xdr:ext cx="838200" cy="330200"/>
    <xdr:sp macro="" textlink="Pivot!C2">
      <xdr:nvSpPr>
        <xdr:cNvPr id="10" name="TextBox 9">
          <a:extLst>
            <a:ext uri="{FF2B5EF4-FFF2-40B4-BE49-F238E27FC236}">
              <a16:creationId xmlns:a16="http://schemas.microsoft.com/office/drawing/2014/main" id="{A2F8D4C3-0624-49CE-B308-74828EA23E61}"/>
            </a:ext>
          </a:extLst>
        </xdr:cNvPr>
        <xdr:cNvSpPr txBox="1"/>
      </xdr:nvSpPr>
      <xdr:spPr>
        <a:xfrm>
          <a:off x="5245100" y="412750"/>
          <a:ext cx="838200" cy="330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11539D6-7628-48BC-80EB-6FA9652B7280}" type="TxLink">
            <a:rPr lang="en-US" sz="1800" b="1" i="0" u="none" strike="noStrike">
              <a:solidFill>
                <a:srgbClr val="000000"/>
              </a:solidFill>
              <a:latin typeface="Calibri"/>
              <a:ea typeface="Calibri"/>
              <a:cs typeface="Calibri"/>
            </a:rPr>
            <a:pPr algn="ctr"/>
            <a:t>32</a:t>
          </a:fld>
          <a:endParaRPr lang="en-NG" sz="1800" b="1"/>
        </a:p>
      </xdr:txBody>
    </xdr:sp>
    <xdr:clientData/>
  </xdr:oneCellAnchor>
  <xdr:oneCellAnchor>
    <xdr:from>
      <xdr:col>11</xdr:col>
      <xdr:colOff>31750</xdr:colOff>
      <xdr:row>0</xdr:row>
      <xdr:rowOff>82550</xdr:rowOff>
    </xdr:from>
    <xdr:ext cx="1384300" cy="336550"/>
    <xdr:sp macro="" textlink="">
      <xdr:nvSpPr>
        <xdr:cNvPr id="12" name="TextBox 11">
          <a:extLst>
            <a:ext uri="{FF2B5EF4-FFF2-40B4-BE49-F238E27FC236}">
              <a16:creationId xmlns:a16="http://schemas.microsoft.com/office/drawing/2014/main" id="{1B47CA8D-8018-4F55-B73B-D0B2DA53B60C}"/>
            </a:ext>
          </a:extLst>
        </xdr:cNvPr>
        <xdr:cNvSpPr txBox="1"/>
      </xdr:nvSpPr>
      <xdr:spPr>
        <a:xfrm>
          <a:off x="6737350" y="82550"/>
          <a:ext cx="1384300" cy="336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1"/>
            <a:t>Average</a:t>
          </a:r>
          <a:r>
            <a:rPr lang="en-US" sz="1400" b="1" baseline="0"/>
            <a:t> Age</a:t>
          </a:r>
          <a:endParaRPr lang="en-NG" sz="1400" b="1"/>
        </a:p>
      </xdr:txBody>
    </xdr:sp>
    <xdr:clientData/>
  </xdr:oneCellAnchor>
  <xdr:oneCellAnchor>
    <xdr:from>
      <xdr:col>11</xdr:col>
      <xdr:colOff>368300</xdr:colOff>
      <xdr:row>2</xdr:row>
      <xdr:rowOff>19050</xdr:rowOff>
    </xdr:from>
    <xdr:ext cx="838200" cy="330200"/>
    <xdr:sp macro="" textlink="Pivot!E2">
      <xdr:nvSpPr>
        <xdr:cNvPr id="13" name="TextBox 12">
          <a:extLst>
            <a:ext uri="{FF2B5EF4-FFF2-40B4-BE49-F238E27FC236}">
              <a16:creationId xmlns:a16="http://schemas.microsoft.com/office/drawing/2014/main" id="{0C88D408-A3FB-4E46-9080-CA620BB94FF5}"/>
            </a:ext>
          </a:extLst>
        </xdr:cNvPr>
        <xdr:cNvSpPr txBox="1"/>
      </xdr:nvSpPr>
      <xdr:spPr>
        <a:xfrm>
          <a:off x="7073900" y="387350"/>
          <a:ext cx="838200" cy="330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D45CE8E-A3C4-4C52-8231-BC58C7F45F51}" type="TxLink">
            <a:rPr lang="en-US" sz="1800" b="1" i="0" u="none" strike="noStrike">
              <a:solidFill>
                <a:srgbClr val="000000"/>
              </a:solidFill>
              <a:latin typeface="Calibri"/>
              <a:ea typeface="Calibri"/>
              <a:cs typeface="Calibri"/>
            </a:rPr>
            <a:t>23</a:t>
          </a:fld>
          <a:endParaRPr lang="en-NG" sz="1800" b="1"/>
        </a:p>
      </xdr:txBody>
    </xdr:sp>
    <xdr:clientData/>
  </xdr:oneCellAnchor>
  <xdr:oneCellAnchor>
    <xdr:from>
      <xdr:col>13</xdr:col>
      <xdr:colOff>355600</xdr:colOff>
      <xdr:row>0</xdr:row>
      <xdr:rowOff>82550</xdr:rowOff>
    </xdr:from>
    <xdr:ext cx="1930400" cy="336550"/>
    <xdr:sp macro="" textlink="">
      <xdr:nvSpPr>
        <xdr:cNvPr id="14" name="TextBox 13">
          <a:extLst>
            <a:ext uri="{FF2B5EF4-FFF2-40B4-BE49-F238E27FC236}">
              <a16:creationId xmlns:a16="http://schemas.microsoft.com/office/drawing/2014/main" id="{0800E2DF-038E-42C7-AE4F-016B003BE64D}"/>
            </a:ext>
          </a:extLst>
        </xdr:cNvPr>
        <xdr:cNvSpPr txBox="1"/>
      </xdr:nvSpPr>
      <xdr:spPr>
        <a:xfrm>
          <a:off x="8280400" y="82550"/>
          <a:ext cx="1930400" cy="3365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1"/>
            <a:t>Distinct</a:t>
          </a:r>
          <a:r>
            <a:rPr lang="en-US" sz="1400" b="1" baseline="0"/>
            <a:t> Risk Level</a:t>
          </a:r>
          <a:endParaRPr lang="en-NG" sz="1400" b="1"/>
        </a:p>
      </xdr:txBody>
    </xdr:sp>
    <xdr:clientData/>
  </xdr:oneCellAnchor>
  <xdr:oneCellAnchor>
    <xdr:from>
      <xdr:col>14</xdr:col>
      <xdr:colOff>215900</xdr:colOff>
      <xdr:row>2</xdr:row>
      <xdr:rowOff>0</xdr:rowOff>
    </xdr:from>
    <xdr:ext cx="838200" cy="330200"/>
    <xdr:sp macro="" textlink="Pivot!F2">
      <xdr:nvSpPr>
        <xdr:cNvPr id="15" name="TextBox 14">
          <a:extLst>
            <a:ext uri="{FF2B5EF4-FFF2-40B4-BE49-F238E27FC236}">
              <a16:creationId xmlns:a16="http://schemas.microsoft.com/office/drawing/2014/main" id="{50F63F90-EC03-441C-84A7-64DF5AB38359}"/>
            </a:ext>
          </a:extLst>
        </xdr:cNvPr>
        <xdr:cNvSpPr txBox="1"/>
      </xdr:nvSpPr>
      <xdr:spPr>
        <a:xfrm>
          <a:off x="8750300" y="368300"/>
          <a:ext cx="838200" cy="330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1F86F0F-4C4F-4934-BD55-7F5BC57B78AB}" type="TxLink">
            <a:rPr lang="en-US" sz="1800" b="1" i="0" u="none" strike="noStrike">
              <a:solidFill>
                <a:srgbClr val="000000"/>
              </a:solidFill>
              <a:latin typeface="Calibri"/>
              <a:ea typeface="Calibri"/>
              <a:cs typeface="Calibri"/>
            </a:rPr>
            <a:t>3</a:t>
          </a:fld>
          <a:endParaRPr lang="en-NG" sz="1800" b="1"/>
        </a:p>
      </xdr:txBody>
    </xdr:sp>
    <xdr:clientData/>
  </xdr:oneCellAnchor>
  <xdr:twoCellAnchor>
    <xdr:from>
      <xdr:col>2</xdr:col>
      <xdr:colOff>393700</xdr:colOff>
      <xdr:row>6</xdr:row>
      <xdr:rowOff>44450</xdr:rowOff>
    </xdr:from>
    <xdr:to>
      <xdr:col>8</xdr:col>
      <xdr:colOff>488950</xdr:colOff>
      <xdr:row>17</xdr:row>
      <xdr:rowOff>120650</xdr:rowOff>
    </xdr:to>
    <xdr:graphicFrame macro="">
      <xdr:nvGraphicFramePr>
        <xdr:cNvPr id="16" name="Chart 15">
          <a:extLst>
            <a:ext uri="{FF2B5EF4-FFF2-40B4-BE49-F238E27FC236}">
              <a16:creationId xmlns:a16="http://schemas.microsoft.com/office/drawing/2014/main" id="{5DB294FE-A0BB-4772-B91F-065EB0DAF7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355600</xdr:colOff>
      <xdr:row>5</xdr:row>
      <xdr:rowOff>171450</xdr:rowOff>
    </xdr:from>
    <xdr:to>
      <xdr:col>15</xdr:col>
      <xdr:colOff>514350</xdr:colOff>
      <xdr:row>17</xdr:row>
      <xdr:rowOff>146050</xdr:rowOff>
    </xdr:to>
    <xdr:graphicFrame macro="">
      <xdr:nvGraphicFramePr>
        <xdr:cNvPr id="17" name="Chart 16">
          <a:extLst>
            <a:ext uri="{FF2B5EF4-FFF2-40B4-BE49-F238E27FC236}">
              <a16:creationId xmlns:a16="http://schemas.microsoft.com/office/drawing/2014/main" id="{589B8A6F-514A-4079-B2B0-C573EA4E67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444500</xdr:colOff>
      <xdr:row>18</xdr:row>
      <xdr:rowOff>0</xdr:rowOff>
    </xdr:from>
    <xdr:to>
      <xdr:col>9</xdr:col>
      <xdr:colOff>342900</xdr:colOff>
      <xdr:row>27</xdr:row>
      <xdr:rowOff>25400</xdr:rowOff>
    </xdr:to>
    <xdr:graphicFrame macro="">
      <xdr:nvGraphicFramePr>
        <xdr:cNvPr id="18" name="Chart 17">
          <a:extLst>
            <a:ext uri="{FF2B5EF4-FFF2-40B4-BE49-F238E27FC236}">
              <a16:creationId xmlns:a16="http://schemas.microsoft.com/office/drawing/2014/main" id="{F5BDA58C-0E33-429C-AFE8-24D5F2ED25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165100</xdr:colOff>
      <xdr:row>18</xdr:row>
      <xdr:rowOff>38100</xdr:rowOff>
    </xdr:from>
    <xdr:to>
      <xdr:col>17</xdr:col>
      <xdr:colOff>273050</xdr:colOff>
      <xdr:row>27</xdr:row>
      <xdr:rowOff>177800</xdr:rowOff>
    </xdr:to>
    <xdr:graphicFrame macro="">
      <xdr:nvGraphicFramePr>
        <xdr:cNvPr id="19" name="Chart 18">
          <a:extLst>
            <a:ext uri="{FF2B5EF4-FFF2-40B4-BE49-F238E27FC236}">
              <a16:creationId xmlns:a16="http://schemas.microsoft.com/office/drawing/2014/main" id="{761874D5-63C4-43B3-83D5-E30D30700F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ory Chiamaka Emeh" refreshedDate="45834.545755208332" createdVersion="7" refreshedVersion="7" minRefreshableVersion="3" recordCount="31" xr:uid="{2DDD7EBB-5B05-4E6F-8D0C-4DC8A5C72B95}">
  <cacheSource type="worksheet">
    <worksheetSource name="MaternalHealth_Extended__2"/>
  </cacheSource>
  <cacheFields count="11">
    <cacheField name="ID" numFmtId="0">
      <sharedItems containsSemiMixedTypes="0" containsString="0" containsNumber="1" containsInteger="1" minValue="1" maxValue="31"/>
    </cacheField>
    <cacheField name="Surname" numFmtId="0">
      <sharedItems/>
    </cacheField>
    <cacheField name="Names" numFmtId="0">
      <sharedItems/>
    </cacheField>
    <cacheField name="Age" numFmtId="0">
      <sharedItems containsSemiMixedTypes="0" containsString="0" containsNumber="1" containsInteger="1" minValue="0" maxValue="56" count="8">
        <n v="25"/>
        <n v="32"/>
        <n v="0"/>
        <n v="56"/>
        <n v="23"/>
        <n v="46"/>
        <n v="53"/>
        <n v="13"/>
      </sharedItems>
    </cacheField>
    <cacheField name="SystolicBP" numFmtId="0">
      <sharedItems containsSemiMixedTypes="0" containsString="0" containsNumber="1" containsInteger="1" minValue="0" maxValue="160"/>
    </cacheField>
    <cacheField name="DiastolicBP" numFmtId="0">
      <sharedItems containsSemiMixedTypes="0" containsString="0" containsNumber="1" containsInteger="1" minValue="0" maxValue="100"/>
    </cacheField>
    <cacheField name="BS" numFmtId="0">
      <sharedItems containsSemiMixedTypes="0" containsString="0" containsNumber="1" containsInteger="1" minValue="0" maxValue="140"/>
    </cacheField>
    <cacheField name="BodyTemp" numFmtId="0">
      <sharedItems containsSemiMixedTypes="0" containsString="0" containsNumber="1" containsInteger="1" minValue="0" maxValue="39"/>
    </cacheField>
    <cacheField name="HeartRate" numFmtId="0">
      <sharedItems containsSemiMixedTypes="0" containsString="0" containsNumber="1" containsInteger="1" minValue="0" maxValue="120"/>
    </cacheField>
    <cacheField name="Visit_date" numFmtId="14">
      <sharedItems containsSemiMixedTypes="0" containsNonDate="0" containsDate="1" containsString="0" minDate="2025-06-24T00:00:00" maxDate="2025-06-27T00:00:00" count="3">
        <d v="2025-06-24T00:00:00"/>
        <d v="2025-06-25T00:00:00"/>
        <d v="2025-06-26T00:00:00"/>
      </sharedItems>
    </cacheField>
    <cacheField name="RiskLevel" numFmtId="0">
      <sharedItems count="3">
        <s v="low risk"/>
        <s v="Mid risk"/>
        <s v="High risk"/>
      </sharedItems>
    </cacheField>
  </cacheFields>
  <extLst>
    <ext xmlns:x14="http://schemas.microsoft.com/office/spreadsheetml/2009/9/main" uri="{725AE2AE-9491-48be-B2B4-4EB974FC3084}">
      <x14:pivotCacheDefinition pivotCacheId="11901287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n v="1"/>
    <s v="Emeh"/>
    <s v="Glory"/>
    <x v="0"/>
    <n v="120"/>
    <n v="80"/>
    <n v="100"/>
    <n v="36"/>
    <n v="110"/>
    <x v="0"/>
    <x v="0"/>
  </r>
  <r>
    <n v="2"/>
    <s v="Emeh"/>
    <s v="Glory"/>
    <x v="0"/>
    <n v="120"/>
    <n v="80"/>
    <n v="100"/>
    <n v="36"/>
    <n v="110"/>
    <x v="0"/>
    <x v="0"/>
  </r>
  <r>
    <n v="3"/>
    <s v="Emeh"/>
    <s v="Glory"/>
    <x v="0"/>
    <n v="120"/>
    <n v="80"/>
    <n v="100"/>
    <n v="36"/>
    <n v="110"/>
    <x v="0"/>
    <x v="0"/>
  </r>
  <r>
    <n v="4"/>
    <s v="Emeh"/>
    <s v="Glory"/>
    <x v="0"/>
    <n v="120"/>
    <n v="80"/>
    <n v="100"/>
    <n v="36"/>
    <n v="110"/>
    <x v="0"/>
    <x v="0"/>
  </r>
  <r>
    <n v="5"/>
    <s v="Emeh"/>
    <s v="Glory"/>
    <x v="0"/>
    <n v="120"/>
    <n v="80"/>
    <n v="100"/>
    <n v="36"/>
    <n v="110"/>
    <x v="0"/>
    <x v="0"/>
  </r>
  <r>
    <n v="6"/>
    <s v="Emeh"/>
    <s v="Glory"/>
    <x v="0"/>
    <n v="120"/>
    <n v="80"/>
    <n v="100"/>
    <n v="36"/>
    <n v="110"/>
    <x v="0"/>
    <x v="0"/>
  </r>
  <r>
    <n v="7"/>
    <s v="Emeh"/>
    <s v="Glory"/>
    <x v="0"/>
    <n v="120"/>
    <n v="80"/>
    <n v="100"/>
    <n v="36"/>
    <n v="110"/>
    <x v="0"/>
    <x v="0"/>
  </r>
  <r>
    <n v="8"/>
    <s v="Emeh"/>
    <s v="Glory"/>
    <x v="0"/>
    <n v="120"/>
    <n v="80"/>
    <n v="100"/>
    <n v="36"/>
    <n v="110"/>
    <x v="0"/>
    <x v="0"/>
  </r>
  <r>
    <n v="9"/>
    <s v="Emeh"/>
    <s v="Glory"/>
    <x v="0"/>
    <n v="120"/>
    <n v="80"/>
    <n v="100"/>
    <n v="36"/>
    <n v="110"/>
    <x v="0"/>
    <x v="0"/>
  </r>
  <r>
    <n v="10"/>
    <s v="Emeh"/>
    <s v="Glory"/>
    <x v="0"/>
    <n v="120"/>
    <n v="80"/>
    <n v="100"/>
    <n v="36"/>
    <n v="110"/>
    <x v="0"/>
    <x v="0"/>
  </r>
  <r>
    <n v="11"/>
    <s v="Emeh"/>
    <s v="Glory"/>
    <x v="0"/>
    <n v="120"/>
    <n v="80"/>
    <n v="100"/>
    <n v="36"/>
    <n v="110"/>
    <x v="0"/>
    <x v="0"/>
  </r>
  <r>
    <n v="12"/>
    <s v="Emeh"/>
    <s v="Glory"/>
    <x v="1"/>
    <n v="130"/>
    <n v="100"/>
    <n v="140"/>
    <n v="37"/>
    <n v="100"/>
    <x v="0"/>
    <x v="1"/>
  </r>
  <r>
    <n v="13"/>
    <s v=""/>
    <s v=""/>
    <x v="2"/>
    <n v="0"/>
    <n v="0"/>
    <n v="0"/>
    <n v="0"/>
    <n v="0"/>
    <x v="1"/>
    <x v="0"/>
  </r>
  <r>
    <n v="14"/>
    <s v=""/>
    <s v=""/>
    <x v="2"/>
    <n v="0"/>
    <n v="0"/>
    <n v="0"/>
    <n v="0"/>
    <n v="0"/>
    <x v="1"/>
    <x v="0"/>
  </r>
  <r>
    <n v="15"/>
    <s v="Onyema"/>
    <s v="Ngozi"/>
    <x v="3"/>
    <n v="149"/>
    <n v="100"/>
    <n v="130"/>
    <n v="35"/>
    <n v="120"/>
    <x v="1"/>
    <x v="2"/>
  </r>
  <r>
    <n v="16"/>
    <s v="Onyema"/>
    <s v="Ngozi"/>
    <x v="3"/>
    <n v="149"/>
    <n v="100"/>
    <n v="130"/>
    <n v="35"/>
    <n v="120"/>
    <x v="1"/>
    <x v="2"/>
  </r>
  <r>
    <n v="17"/>
    <s v="Onyema"/>
    <s v="Ngozi"/>
    <x v="3"/>
    <n v="149"/>
    <n v="100"/>
    <n v="130"/>
    <n v="35"/>
    <n v="120"/>
    <x v="1"/>
    <x v="2"/>
  </r>
  <r>
    <n v="18"/>
    <s v="Anayanti"/>
    <s v="Chinatu"/>
    <x v="4"/>
    <n v="150"/>
    <n v="90"/>
    <n v="130"/>
    <n v="35"/>
    <n v="120"/>
    <x v="2"/>
    <x v="1"/>
  </r>
  <r>
    <n v="19"/>
    <s v=""/>
    <s v=""/>
    <x v="2"/>
    <n v="0"/>
    <n v="0"/>
    <n v="0"/>
    <n v="0"/>
    <n v="0"/>
    <x v="2"/>
    <x v="0"/>
  </r>
  <r>
    <n v="20"/>
    <s v=""/>
    <s v=""/>
    <x v="2"/>
    <n v="0"/>
    <n v="0"/>
    <n v="0"/>
    <n v="0"/>
    <n v="0"/>
    <x v="2"/>
    <x v="0"/>
  </r>
  <r>
    <n v="21"/>
    <s v=""/>
    <s v=""/>
    <x v="2"/>
    <n v="0"/>
    <n v="0"/>
    <n v="0"/>
    <n v="0"/>
    <n v="0"/>
    <x v="2"/>
    <x v="0"/>
  </r>
  <r>
    <n v="22"/>
    <s v=""/>
    <s v=""/>
    <x v="2"/>
    <n v="0"/>
    <n v="0"/>
    <n v="0"/>
    <n v="0"/>
    <n v="0"/>
    <x v="2"/>
    <x v="0"/>
  </r>
  <r>
    <n v="23"/>
    <s v=""/>
    <s v=""/>
    <x v="2"/>
    <n v="0"/>
    <n v="0"/>
    <n v="0"/>
    <n v="0"/>
    <n v="0"/>
    <x v="2"/>
    <x v="0"/>
  </r>
  <r>
    <n v="24"/>
    <s v=""/>
    <s v=""/>
    <x v="2"/>
    <n v="0"/>
    <n v="0"/>
    <n v="0"/>
    <n v="0"/>
    <n v="0"/>
    <x v="2"/>
    <x v="0"/>
  </r>
  <r>
    <n v="25"/>
    <s v=""/>
    <s v=""/>
    <x v="2"/>
    <n v="0"/>
    <n v="0"/>
    <n v="0"/>
    <n v="0"/>
    <n v="0"/>
    <x v="2"/>
    <x v="0"/>
  </r>
  <r>
    <n v="26"/>
    <s v=""/>
    <s v=""/>
    <x v="2"/>
    <n v="0"/>
    <n v="0"/>
    <n v="0"/>
    <n v="0"/>
    <n v="0"/>
    <x v="2"/>
    <x v="0"/>
  </r>
  <r>
    <n v="27"/>
    <s v="Onyeoma"/>
    <s v="Ugonma"/>
    <x v="5"/>
    <n v="160"/>
    <n v="97"/>
    <n v="120"/>
    <n v="39"/>
    <n v="100"/>
    <x v="2"/>
    <x v="1"/>
  </r>
  <r>
    <n v="28"/>
    <s v="Onyeoma"/>
    <s v="Ugonma"/>
    <x v="5"/>
    <n v="160"/>
    <n v="97"/>
    <n v="120"/>
    <n v="39"/>
    <n v="100"/>
    <x v="2"/>
    <x v="1"/>
  </r>
  <r>
    <n v="29"/>
    <s v="Onyeoma"/>
    <s v="Ugonma"/>
    <x v="5"/>
    <n v="160"/>
    <n v="97"/>
    <n v="120"/>
    <n v="39"/>
    <n v="100"/>
    <x v="2"/>
    <x v="1"/>
  </r>
  <r>
    <n v="30"/>
    <s v="Kanu"/>
    <s v="Ogbenne"/>
    <x v="6"/>
    <n v="150"/>
    <n v="97"/>
    <n v="128"/>
    <n v="37"/>
    <n v="100"/>
    <x v="2"/>
    <x v="2"/>
  </r>
  <r>
    <n v="31"/>
    <s v="Reuben"/>
    <s v="ihunanya"/>
    <x v="7"/>
    <n v="120"/>
    <n v="79"/>
    <n v="100"/>
    <n v="36"/>
    <n v="100"/>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14FA69-3DF5-48E7-B1CD-87069BE67FCF}" name="PivotTable6"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Visit Date">
  <location ref="D21:E23" firstHeaderRow="1" firstDataRow="1" firstDataCol="1"/>
  <pivotFields count="11">
    <pivotField showAll="0"/>
    <pivotField showAll="0"/>
    <pivotField showAll="0"/>
    <pivotField showAll="0"/>
    <pivotField showAll="0"/>
    <pivotField showAll="0"/>
    <pivotField showAll="0"/>
    <pivotField showAll="0"/>
    <pivotField showAll="0"/>
    <pivotField axis="axisRow" numFmtId="14" showAll="0">
      <items count="4">
        <item h="1" x="0"/>
        <item h="1" x="1"/>
        <item x="2"/>
        <item t="default"/>
      </items>
    </pivotField>
    <pivotField dataField="1" showAll="0">
      <items count="4">
        <item x="2"/>
        <item x="0"/>
        <item x="1"/>
        <item t="default"/>
      </items>
    </pivotField>
  </pivotFields>
  <rowFields count="1">
    <field x="9"/>
  </rowFields>
  <rowItems count="2">
    <i>
      <x v="2"/>
    </i>
    <i t="grand">
      <x/>
    </i>
  </rowItems>
  <colItems count="1">
    <i/>
  </colItems>
  <dataFields count="1">
    <dataField name="Count of RiskLevel" fld="1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CA019B-1885-40C1-BD39-6043D4599983}"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Risk Level">
  <location ref="A21:B25" firstHeaderRow="1" firstDataRow="1" firstDataCol="1"/>
  <pivotFields count="11">
    <pivotField showAll="0"/>
    <pivotField showAll="0"/>
    <pivotField showAll="0"/>
    <pivotField showAll="0"/>
    <pivotField showAll="0"/>
    <pivotField showAll="0"/>
    <pivotField showAll="0"/>
    <pivotField dataField="1" showAll="0"/>
    <pivotField showAll="0"/>
    <pivotField numFmtId="14" showAll="0">
      <items count="4">
        <item h="1" x="0"/>
        <item h="1" x="1"/>
        <item x="2"/>
        <item t="default"/>
      </items>
    </pivotField>
    <pivotField axis="axisRow" showAll="0">
      <items count="4">
        <item x="2"/>
        <item x="0"/>
        <item x="1"/>
        <item t="default"/>
      </items>
    </pivotField>
  </pivotFields>
  <rowFields count="1">
    <field x="10"/>
  </rowFields>
  <rowItems count="4">
    <i>
      <x/>
    </i>
    <i>
      <x v="1"/>
    </i>
    <i>
      <x v="2"/>
    </i>
    <i t="grand">
      <x/>
    </i>
  </rowItems>
  <colItems count="1">
    <i/>
  </colItems>
  <dataFields count="1">
    <dataField name="Average of BodyTemp" fld="7" subtotal="average" baseField="1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E24CE8-2E9A-482B-A1C2-C6DF967E6ABE}"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Risk Level">
  <location ref="A5:B9" firstHeaderRow="1" firstDataRow="1" firstDataCol="1"/>
  <pivotFields count="11">
    <pivotField showAll="0"/>
    <pivotField showAll="0"/>
    <pivotField showAll="0"/>
    <pivotField showAll="0">
      <items count="9">
        <item x="2"/>
        <item x="7"/>
        <item x="4"/>
        <item x="0"/>
        <item x="1"/>
        <item x="5"/>
        <item x="6"/>
        <item x="3"/>
        <item t="default"/>
      </items>
    </pivotField>
    <pivotField showAll="0"/>
    <pivotField showAll="0"/>
    <pivotField showAll="0"/>
    <pivotField showAll="0"/>
    <pivotField showAll="0"/>
    <pivotField numFmtId="14" showAll="0">
      <items count="4">
        <item h="1" x="0"/>
        <item h="1" x="1"/>
        <item x="2"/>
        <item t="default"/>
      </items>
    </pivotField>
    <pivotField axis="axisRow" dataField="1" showAll="0">
      <items count="4">
        <item x="2"/>
        <item x="0"/>
        <item x="1"/>
        <item t="default"/>
      </items>
    </pivotField>
  </pivotFields>
  <rowFields count="1">
    <field x="10"/>
  </rowFields>
  <rowItems count="4">
    <i>
      <x/>
    </i>
    <i>
      <x v="1"/>
    </i>
    <i>
      <x v="2"/>
    </i>
    <i t="grand">
      <x/>
    </i>
  </rowItems>
  <colItems count="1">
    <i/>
  </colItems>
  <dataFields count="1">
    <dataField name="Count of RiskLevel" fld="10" subtotal="count"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3025D4-740A-43AF-A138-8BFD6783848F}" name="PivotTable4"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Risk Level">
  <location ref="D13:H17" firstHeaderRow="0" firstDataRow="1" firstDataCol="1"/>
  <pivotFields count="11">
    <pivotField showAll="0"/>
    <pivotField showAll="0"/>
    <pivotField showAll="0"/>
    <pivotField showAll="0"/>
    <pivotField dataField="1" showAll="0"/>
    <pivotField dataField="1" showAll="0"/>
    <pivotField showAll="0"/>
    <pivotField dataField="1" showAll="0"/>
    <pivotField dataField="1" showAll="0"/>
    <pivotField numFmtId="14" showAll="0">
      <items count="4">
        <item h="1" x="0"/>
        <item h="1" x="1"/>
        <item x="2"/>
        <item t="default"/>
      </items>
    </pivotField>
    <pivotField axis="axisRow" showAll="0">
      <items count="4">
        <item x="2"/>
        <item x="0"/>
        <item x="1"/>
        <item t="default"/>
      </items>
    </pivotField>
  </pivotFields>
  <rowFields count="1">
    <field x="10"/>
  </rowFields>
  <rowItems count="4">
    <i>
      <x/>
    </i>
    <i>
      <x v="1"/>
    </i>
    <i>
      <x v="2"/>
    </i>
    <i t="grand">
      <x/>
    </i>
  </rowItems>
  <colFields count="1">
    <field x="-2"/>
  </colFields>
  <colItems count="4">
    <i>
      <x/>
    </i>
    <i i="1">
      <x v="1"/>
    </i>
    <i i="2">
      <x v="2"/>
    </i>
    <i i="3">
      <x v="3"/>
    </i>
  </colItems>
  <dataFields count="4">
    <dataField name="Average of SystolicBP" fld="4" subtotal="average" baseField="10" baseItem="0" numFmtId="1"/>
    <dataField name="Average of BodyTemp" fld="7" subtotal="average" baseField="10" baseItem="0" numFmtId="1"/>
    <dataField name="Average of HeartRate" fld="8" subtotal="average" baseField="10" baseItem="0" numFmtId="1"/>
    <dataField name="Average of DiastolicBP" fld="5" subtotal="average" baseField="10" baseItem="0" numFmtId="1"/>
  </dataFields>
  <chartFormats count="4">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930066-30C8-4AAC-A6C4-5959F08C86A2}"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Risk Level">
  <location ref="A13:B17" firstHeaderRow="1" firstDataRow="1" firstDataCol="1"/>
  <pivotFields count="11">
    <pivotField showAll="0"/>
    <pivotField showAll="0"/>
    <pivotField showAll="0"/>
    <pivotField showAll="0"/>
    <pivotField showAll="0"/>
    <pivotField showAll="0"/>
    <pivotField dataField="1" showAll="0"/>
    <pivotField showAll="0"/>
    <pivotField showAll="0"/>
    <pivotField numFmtId="14" showAll="0">
      <items count="4">
        <item h="1" x="0"/>
        <item h="1" x="1"/>
        <item x="2"/>
        <item t="default"/>
      </items>
    </pivotField>
    <pivotField axis="axisRow" showAll="0">
      <items count="4">
        <item x="2"/>
        <item x="0"/>
        <item x="1"/>
        <item t="default"/>
      </items>
    </pivotField>
  </pivotFields>
  <rowFields count="1">
    <field x="10"/>
  </rowFields>
  <rowItems count="4">
    <i>
      <x/>
    </i>
    <i>
      <x v="1"/>
    </i>
    <i>
      <x v="2"/>
    </i>
    <i t="grand">
      <x/>
    </i>
  </rowItems>
  <colItems count="1">
    <i/>
  </colItems>
  <dataFields count="1">
    <dataField name="Average of BS" fld="6" subtotal="average" baseField="1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BE26AE-50BC-4B28-95AF-9A919AB8228C}" name="PivotTable2"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rowHeaderCaption="Risk Level">
  <location ref="D5:E9" firstHeaderRow="1" firstDataRow="1" firstDataCol="1"/>
  <pivotFields count="11">
    <pivotField showAll="0"/>
    <pivotField showAll="0"/>
    <pivotField showAll="0"/>
    <pivotField dataField="1" showAll="0"/>
    <pivotField showAll="0"/>
    <pivotField showAll="0"/>
    <pivotField showAll="0"/>
    <pivotField showAll="0"/>
    <pivotField showAll="0"/>
    <pivotField numFmtId="14" showAll="0">
      <items count="4">
        <item h="1" x="0"/>
        <item h="1" x="1"/>
        <item x="2"/>
        <item t="default"/>
      </items>
    </pivotField>
    <pivotField axis="axisRow" showAll="0">
      <items count="4">
        <item x="2"/>
        <item x="0"/>
        <item x="1"/>
        <item t="default"/>
      </items>
    </pivotField>
  </pivotFields>
  <rowFields count="1">
    <field x="10"/>
  </rowFields>
  <rowItems count="4">
    <i>
      <x/>
    </i>
    <i>
      <x v="1"/>
    </i>
    <i>
      <x v="2"/>
    </i>
    <i t="grand">
      <x/>
    </i>
  </rowItems>
  <colItems count="1">
    <i/>
  </colItems>
  <dataFields count="1">
    <dataField name="Average of Age" fld="3" subtotal="average" baseField="10" baseItem="0" numFmtId="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CA47372-570C-42FB-B2C9-B9DCA5F3E901}" autoFormatId="16" applyNumberFormats="0" applyBorderFormats="0" applyFontFormats="0" applyPatternFormats="0" applyAlignmentFormats="0" applyWidthHeightFormats="0">
  <queryTableRefresh nextId="12">
    <queryTableFields count="11">
      <queryTableField id="1" name="ID" tableColumnId="1"/>
      <queryTableField id="2" name="Surname" tableColumnId="2"/>
      <queryTableField id="3" name="Names" tableColumnId="3"/>
      <queryTableField id="4" name="Age" tableColumnId="4"/>
      <queryTableField id="5" name="SystolicBP" tableColumnId="5"/>
      <queryTableField id="6" name="DiastolicBP" tableColumnId="6"/>
      <queryTableField id="7" name="BS" tableColumnId="7"/>
      <queryTableField id="8" name="BodyTemp" tableColumnId="8"/>
      <queryTableField id="9" name="HeartRate" tableColumnId="9"/>
      <queryTableField id="10" name="Visit_date" tableColumnId="10"/>
      <queryTableField id="11" name="RiskLevel" tableColumnId="11"/>
    </queryTableFields>
  </queryTableRefresh>
  <extLst>
    <ext xmlns:x15="http://schemas.microsoft.com/office/spreadsheetml/2010/11/main" uri="{883FBD77-0823-4a55-B5E3-86C4891E6966}">
      <x15:queryTable sourceDataName="Query - MaternalHealth_Extended (2)"/>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Level" xr10:uid="{C818E75D-3B6C-4B2F-8F32-51FF497C6C66}" sourceName="RiskLevel">
  <pivotTables>
    <pivotTable tabId="6" name="PivotTable1"/>
    <pivotTable tabId="6" name="PivotTable2"/>
    <pivotTable tabId="6" name="PivotTable3"/>
    <pivotTable tabId="6" name="PivotTable4"/>
    <pivotTable tabId="6" name="PivotTable5"/>
    <pivotTable tabId="6" name="PivotTable6"/>
  </pivotTables>
  <data>
    <tabular pivotCacheId="1190128720">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sit_date" xr10:uid="{EC1E2CA6-3F69-44B1-B314-96C598404DCC}" sourceName="Visit_date">
  <pivotTables>
    <pivotTable tabId="6" name="PivotTable1"/>
    <pivotTable tabId="6" name="PivotTable2"/>
    <pivotTable tabId="6" name="PivotTable3"/>
    <pivotTable tabId="6" name="PivotTable4"/>
    <pivotTable tabId="6" name="PivotTable5"/>
    <pivotTable tabId="6" name="PivotTable6"/>
  </pivotTables>
  <data>
    <tabular pivotCacheId="1190128720">
      <items count="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iskLevel" xr10:uid="{5651698C-23A3-4D97-9F67-5D7A61D2BC7F}" cache="Slicer_RiskLevel" caption="RiskLevel" startItem="1" rowHeight="241300"/>
  <slicer name="Visit_date" xr10:uid="{995883C5-2AE5-429E-8E5A-E45BA787BEA3}" cache="Slicer_Visit_date" caption="Visit_dat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386492-9A18-4D7D-B349-1F1EA9CC7338}" name="MaternalHealth_Extended__2" displayName="MaternalHealth_Extended__2" ref="A1:K33" tableType="queryTable" totalsRowShown="0">
  <autoFilter ref="A1:K33" xr:uid="{C6386492-9A18-4D7D-B349-1F1EA9CC7338}"/>
  <tableColumns count="11">
    <tableColumn id="1" xr3:uid="{F9FDA30E-0368-499A-AFFE-D00807AE4DFA}" uniqueName="1" name="ID" queryTableFieldId="1"/>
    <tableColumn id="2" xr3:uid="{10692DC7-F837-48D2-8B61-6FA1F8BBA911}" uniqueName="2" name="Surname" queryTableFieldId="2" dataDxfId="3"/>
    <tableColumn id="3" xr3:uid="{B613A881-D5F5-490C-BC0C-21F3FB731DA8}" uniqueName="3" name="Names" queryTableFieldId="3" dataDxfId="2"/>
    <tableColumn id="4" xr3:uid="{4F554760-13F0-4AF8-8C42-BAD3324B723A}" uniqueName="4" name="Age" queryTableFieldId="4"/>
    <tableColumn id="5" xr3:uid="{D3248B54-2C3D-47D7-8609-8FBCA63EA08E}" uniqueName="5" name="SystolicBP" queryTableFieldId="5"/>
    <tableColumn id="6" xr3:uid="{E267AA75-65DA-4C97-A858-E8BA34E9F6A5}" uniqueName="6" name="DiastolicBP" queryTableFieldId="6"/>
    <tableColumn id="7" xr3:uid="{989C9CCB-C710-482B-A027-B05ABF9468B8}" uniqueName="7" name="BS" queryTableFieldId="7"/>
    <tableColumn id="8" xr3:uid="{D12D52C4-B240-434F-B1F7-0BF2CB1ECA80}" uniqueName="8" name="BodyTemp" queryTableFieldId="8"/>
    <tableColumn id="9" xr3:uid="{68A9CD27-5D90-41B6-8B29-15A0694CB510}" uniqueName="9" name="HeartRate" queryTableFieldId="9"/>
    <tableColumn id="10" xr3:uid="{33F14563-26E8-4DB4-AB96-68C474B8DEA4}" uniqueName="10" name="Visit_date" queryTableFieldId="10" dataDxfId="1"/>
    <tableColumn id="11" xr3:uid="{EEE8CCA5-8FA8-4B73-BA70-92D3C7BD1D21}" uniqueName="11" name="RiskLevel"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4FAE-0268-4EB3-9B59-37B1494E0AA9}">
  <sheetPr codeName="Sheet1"/>
  <dimension ref="A1:C15"/>
  <sheetViews>
    <sheetView workbookViewId="0">
      <selection activeCell="B12" sqref="B12"/>
    </sheetView>
  </sheetViews>
  <sheetFormatPr defaultRowHeight="14.5" x14ac:dyDescent="0.35"/>
  <cols>
    <col min="1" max="1" width="20.36328125" customWidth="1"/>
    <col min="2" max="2" width="14.453125" customWidth="1"/>
  </cols>
  <sheetData>
    <row r="1" spans="1:3" x14ac:dyDescent="0.35">
      <c r="A1" s="11" t="s">
        <v>25</v>
      </c>
      <c r="B1" s="11"/>
    </row>
    <row r="2" spans="1:3" x14ac:dyDescent="0.35">
      <c r="A2" s="11"/>
      <c r="B2" s="11"/>
    </row>
    <row r="4" spans="1:3" x14ac:dyDescent="0.35">
      <c r="A4" s="1" t="s">
        <v>0</v>
      </c>
      <c r="B4" s="6"/>
      <c r="C4" s="2"/>
    </row>
    <row r="5" spans="1:3" x14ac:dyDescent="0.35">
      <c r="A5" s="1" t="s">
        <v>1</v>
      </c>
      <c r="B5" s="1"/>
      <c r="C5" s="2"/>
    </row>
    <row r="6" spans="1:3" x14ac:dyDescent="0.35">
      <c r="A6" s="1" t="s">
        <v>2</v>
      </c>
      <c r="B6" s="7"/>
      <c r="C6" s="2"/>
    </row>
    <row r="7" spans="1:3" x14ac:dyDescent="0.35">
      <c r="A7" s="1" t="s">
        <v>3</v>
      </c>
      <c r="B7" s="7"/>
      <c r="C7" s="2"/>
    </row>
    <row r="8" spans="1:3" x14ac:dyDescent="0.35">
      <c r="A8" s="1" t="s">
        <v>4</v>
      </c>
      <c r="B8" s="7"/>
      <c r="C8" s="2"/>
    </row>
    <row r="9" spans="1:3" x14ac:dyDescent="0.35">
      <c r="A9" s="1" t="s">
        <v>5</v>
      </c>
      <c r="B9" s="7"/>
      <c r="C9" s="2"/>
    </row>
    <row r="10" spans="1:3" x14ac:dyDescent="0.35">
      <c r="A10" s="1" t="s">
        <v>6</v>
      </c>
      <c r="B10" s="7"/>
      <c r="C10" s="2"/>
    </row>
    <row r="11" spans="1:3" x14ac:dyDescent="0.35">
      <c r="A11" s="1" t="s">
        <v>7</v>
      </c>
      <c r="B11" s="7"/>
      <c r="C11" s="2"/>
    </row>
    <row r="12" spans="1:3" x14ac:dyDescent="0.35">
      <c r="A12" s="1" t="s">
        <v>8</v>
      </c>
      <c r="B12" s="5"/>
      <c r="C12" s="2"/>
    </row>
    <row r="13" spans="1:3" x14ac:dyDescent="0.35">
      <c r="A13" s="2"/>
      <c r="B13" s="2" t="s">
        <v>51</v>
      </c>
      <c r="C13" s="2"/>
    </row>
    <row r="14" spans="1:3" x14ac:dyDescent="0.35">
      <c r="A14" s="2"/>
      <c r="B14" s="2"/>
      <c r="C14" s="2"/>
    </row>
    <row r="15" spans="1:3" x14ac:dyDescent="0.35">
      <c r="A15" s="2"/>
      <c r="B15" s="2"/>
      <c r="C15" s="2"/>
    </row>
  </sheetData>
  <mergeCells count="1">
    <mergeCell ref="A1: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SubmitScript">
                <anchor moveWithCells="1" sizeWithCells="1">
                  <from>
                    <xdr:col>0</xdr:col>
                    <xdr:colOff>88900</xdr:colOff>
                    <xdr:row>12</xdr:row>
                    <xdr:rowOff>57150</xdr:rowOff>
                  </from>
                  <to>
                    <xdr:col>0</xdr:col>
                    <xdr:colOff>1225550</xdr:colOff>
                    <xdr:row>14</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0096C-3BC5-4561-BF58-BD96C90FE5F7}">
  <sheetPr codeName="Sheet3"/>
  <dimension ref="A1:K33"/>
  <sheetViews>
    <sheetView tabSelected="1" topLeftCell="A14" workbookViewId="0">
      <selection activeCell="P24" sqref="P24"/>
    </sheetView>
  </sheetViews>
  <sheetFormatPr defaultRowHeight="14.5" x14ac:dyDescent="0.35"/>
  <cols>
    <col min="1" max="1" width="4.90625" bestFit="1" customWidth="1"/>
    <col min="2" max="2" width="10.54296875" bestFit="1" customWidth="1"/>
    <col min="3" max="3" width="8.81640625" bestFit="1" customWidth="1"/>
    <col min="4" max="4" width="6.1796875" bestFit="1" customWidth="1"/>
    <col min="5" max="5" width="11.453125" bestFit="1" customWidth="1"/>
    <col min="6" max="6" width="12.36328125" bestFit="1" customWidth="1"/>
    <col min="7" max="7" width="5.08984375" bestFit="1" customWidth="1"/>
    <col min="8" max="8" width="12" bestFit="1" customWidth="1"/>
    <col min="9" max="9" width="11.6328125" bestFit="1" customWidth="1"/>
    <col min="10" max="10" width="11.54296875" bestFit="1" customWidth="1"/>
    <col min="11" max="11" width="10.6328125" bestFit="1" customWidth="1"/>
  </cols>
  <sheetData>
    <row r="1" spans="1:11" x14ac:dyDescent="0.35">
      <c r="A1" t="s">
        <v>9</v>
      </c>
      <c r="B1" t="s">
        <v>0</v>
      </c>
      <c r="C1" t="s">
        <v>1</v>
      </c>
      <c r="D1" t="s">
        <v>2</v>
      </c>
      <c r="E1" t="s">
        <v>10</v>
      </c>
      <c r="F1" t="s">
        <v>4</v>
      </c>
      <c r="G1" t="s">
        <v>5</v>
      </c>
      <c r="H1" t="s">
        <v>6</v>
      </c>
      <c r="I1" t="s">
        <v>7</v>
      </c>
      <c r="J1" t="s">
        <v>11</v>
      </c>
      <c r="K1" t="s">
        <v>12</v>
      </c>
    </row>
    <row r="2" spans="1:11" x14ac:dyDescent="0.35">
      <c r="A2">
        <v>1</v>
      </c>
      <c r="B2" s="3" t="s">
        <v>13</v>
      </c>
      <c r="C2" s="3" t="s">
        <v>14</v>
      </c>
      <c r="D2">
        <v>25</v>
      </c>
      <c r="E2">
        <v>120</v>
      </c>
      <c r="F2">
        <v>80</v>
      </c>
      <c r="G2">
        <v>100</v>
      </c>
      <c r="H2">
        <v>36</v>
      </c>
      <c r="I2">
        <v>110</v>
      </c>
      <c r="J2" s="4">
        <v>45832</v>
      </c>
      <c r="K2" s="3" t="s">
        <v>15</v>
      </c>
    </row>
    <row r="3" spans="1:11" x14ac:dyDescent="0.35">
      <c r="A3">
        <v>2</v>
      </c>
      <c r="B3" s="3" t="s">
        <v>13</v>
      </c>
      <c r="C3" s="3" t="s">
        <v>14</v>
      </c>
      <c r="D3">
        <v>25</v>
      </c>
      <c r="E3">
        <v>120</v>
      </c>
      <c r="F3">
        <v>80</v>
      </c>
      <c r="G3">
        <v>100</v>
      </c>
      <c r="H3">
        <v>36</v>
      </c>
      <c r="I3">
        <v>110</v>
      </c>
      <c r="J3" s="4">
        <v>45832</v>
      </c>
      <c r="K3" s="3" t="s">
        <v>15</v>
      </c>
    </row>
    <row r="4" spans="1:11" x14ac:dyDescent="0.35">
      <c r="A4">
        <v>3</v>
      </c>
      <c r="B4" s="3" t="s">
        <v>13</v>
      </c>
      <c r="C4" s="3" t="s">
        <v>14</v>
      </c>
      <c r="D4">
        <v>25</v>
      </c>
      <c r="E4">
        <v>120</v>
      </c>
      <c r="F4">
        <v>80</v>
      </c>
      <c r="G4">
        <v>100</v>
      </c>
      <c r="H4">
        <v>36</v>
      </c>
      <c r="I4">
        <v>110</v>
      </c>
      <c r="J4" s="4">
        <v>45832</v>
      </c>
      <c r="K4" s="3" t="s">
        <v>15</v>
      </c>
    </row>
    <row r="5" spans="1:11" x14ac:dyDescent="0.35">
      <c r="A5">
        <v>4</v>
      </c>
      <c r="B5" s="3" t="s">
        <v>13</v>
      </c>
      <c r="C5" s="3" t="s">
        <v>14</v>
      </c>
      <c r="D5">
        <v>25</v>
      </c>
      <c r="E5">
        <v>120</v>
      </c>
      <c r="F5">
        <v>80</v>
      </c>
      <c r="G5">
        <v>100</v>
      </c>
      <c r="H5">
        <v>36</v>
      </c>
      <c r="I5">
        <v>110</v>
      </c>
      <c r="J5" s="4">
        <v>45832</v>
      </c>
      <c r="K5" s="3" t="s">
        <v>15</v>
      </c>
    </row>
    <row r="6" spans="1:11" x14ac:dyDescent="0.35">
      <c r="A6">
        <v>5</v>
      </c>
      <c r="B6" s="3" t="s">
        <v>13</v>
      </c>
      <c r="C6" s="3" t="s">
        <v>14</v>
      </c>
      <c r="D6">
        <v>25</v>
      </c>
      <c r="E6">
        <v>120</v>
      </c>
      <c r="F6">
        <v>80</v>
      </c>
      <c r="G6">
        <v>100</v>
      </c>
      <c r="H6">
        <v>36</v>
      </c>
      <c r="I6">
        <v>110</v>
      </c>
      <c r="J6" s="4">
        <v>45832</v>
      </c>
      <c r="K6" s="3" t="s">
        <v>15</v>
      </c>
    </row>
    <row r="7" spans="1:11" x14ac:dyDescent="0.35">
      <c r="A7">
        <v>6</v>
      </c>
      <c r="B7" s="3" t="s">
        <v>13</v>
      </c>
      <c r="C7" s="3" t="s">
        <v>14</v>
      </c>
      <c r="D7">
        <v>25</v>
      </c>
      <c r="E7">
        <v>120</v>
      </c>
      <c r="F7">
        <v>80</v>
      </c>
      <c r="G7">
        <v>100</v>
      </c>
      <c r="H7">
        <v>36</v>
      </c>
      <c r="I7">
        <v>110</v>
      </c>
      <c r="J7" s="4">
        <v>45832</v>
      </c>
      <c r="K7" s="3" t="s">
        <v>15</v>
      </c>
    </row>
    <row r="8" spans="1:11" x14ac:dyDescent="0.35">
      <c r="A8">
        <v>7</v>
      </c>
      <c r="B8" s="3" t="s">
        <v>13</v>
      </c>
      <c r="C8" s="3" t="s">
        <v>14</v>
      </c>
      <c r="D8">
        <v>25</v>
      </c>
      <c r="E8">
        <v>120</v>
      </c>
      <c r="F8">
        <v>80</v>
      </c>
      <c r="G8">
        <v>100</v>
      </c>
      <c r="H8">
        <v>36</v>
      </c>
      <c r="I8">
        <v>110</v>
      </c>
      <c r="J8" s="4">
        <v>45832</v>
      </c>
      <c r="K8" s="3" t="s">
        <v>15</v>
      </c>
    </row>
    <row r="9" spans="1:11" x14ac:dyDescent="0.35">
      <c r="A9">
        <v>8</v>
      </c>
      <c r="B9" s="3" t="s">
        <v>13</v>
      </c>
      <c r="C9" s="3" t="s">
        <v>14</v>
      </c>
      <c r="D9">
        <v>25</v>
      </c>
      <c r="E9">
        <v>120</v>
      </c>
      <c r="F9">
        <v>80</v>
      </c>
      <c r="G9">
        <v>100</v>
      </c>
      <c r="H9">
        <v>36</v>
      </c>
      <c r="I9">
        <v>110</v>
      </c>
      <c r="J9" s="4">
        <v>45832</v>
      </c>
      <c r="K9" s="3" t="s">
        <v>15</v>
      </c>
    </row>
    <row r="10" spans="1:11" x14ac:dyDescent="0.35">
      <c r="A10">
        <v>9</v>
      </c>
      <c r="B10" s="3" t="s">
        <v>13</v>
      </c>
      <c r="C10" s="3" t="s">
        <v>14</v>
      </c>
      <c r="D10">
        <v>25</v>
      </c>
      <c r="E10">
        <v>120</v>
      </c>
      <c r="F10">
        <v>80</v>
      </c>
      <c r="G10">
        <v>100</v>
      </c>
      <c r="H10">
        <v>36</v>
      </c>
      <c r="I10">
        <v>110</v>
      </c>
      <c r="J10" s="4">
        <v>45832</v>
      </c>
      <c r="K10" s="3" t="s">
        <v>15</v>
      </c>
    </row>
    <row r="11" spans="1:11" x14ac:dyDescent="0.35">
      <c r="A11">
        <v>10</v>
      </c>
      <c r="B11" s="3" t="s">
        <v>13</v>
      </c>
      <c r="C11" s="3" t="s">
        <v>14</v>
      </c>
      <c r="D11">
        <v>25</v>
      </c>
      <c r="E11">
        <v>120</v>
      </c>
      <c r="F11">
        <v>80</v>
      </c>
      <c r="G11">
        <v>100</v>
      </c>
      <c r="H11">
        <v>36</v>
      </c>
      <c r="I11">
        <v>110</v>
      </c>
      <c r="J11" s="4">
        <v>45832</v>
      </c>
      <c r="K11" s="3" t="s">
        <v>15</v>
      </c>
    </row>
    <row r="12" spans="1:11" x14ac:dyDescent="0.35">
      <c r="A12">
        <v>11</v>
      </c>
      <c r="B12" s="3" t="s">
        <v>13</v>
      </c>
      <c r="C12" s="3" t="s">
        <v>14</v>
      </c>
      <c r="D12">
        <v>25</v>
      </c>
      <c r="E12">
        <v>120</v>
      </c>
      <c r="F12">
        <v>80</v>
      </c>
      <c r="G12">
        <v>100</v>
      </c>
      <c r="H12">
        <v>36</v>
      </c>
      <c r="I12">
        <v>110</v>
      </c>
      <c r="J12" s="4">
        <v>45832</v>
      </c>
      <c r="K12" s="3" t="s">
        <v>15</v>
      </c>
    </row>
    <row r="13" spans="1:11" x14ac:dyDescent="0.35">
      <c r="A13">
        <v>12</v>
      </c>
      <c r="B13" s="3" t="s">
        <v>13</v>
      </c>
      <c r="C13" s="3" t="s">
        <v>14</v>
      </c>
      <c r="D13">
        <v>32</v>
      </c>
      <c r="E13">
        <v>130</v>
      </c>
      <c r="F13">
        <v>100</v>
      </c>
      <c r="G13">
        <v>140</v>
      </c>
      <c r="H13">
        <v>37</v>
      </c>
      <c r="I13">
        <v>100</v>
      </c>
      <c r="J13" s="4">
        <v>45832</v>
      </c>
      <c r="K13" s="3" t="s">
        <v>16</v>
      </c>
    </row>
    <row r="14" spans="1:11" x14ac:dyDescent="0.35">
      <c r="A14">
        <v>13</v>
      </c>
      <c r="B14" s="3" t="s">
        <v>20</v>
      </c>
      <c r="C14" s="3" t="s">
        <v>20</v>
      </c>
      <c r="D14">
        <v>0</v>
      </c>
      <c r="E14">
        <v>0</v>
      </c>
      <c r="F14">
        <v>0</v>
      </c>
      <c r="G14">
        <v>0</v>
      </c>
      <c r="H14">
        <v>0</v>
      </c>
      <c r="I14">
        <v>0</v>
      </c>
      <c r="J14" s="4">
        <v>45833</v>
      </c>
      <c r="K14" s="3" t="s">
        <v>15</v>
      </c>
    </row>
    <row r="15" spans="1:11" x14ac:dyDescent="0.35">
      <c r="A15">
        <v>14</v>
      </c>
      <c r="B15" s="3" t="s">
        <v>20</v>
      </c>
      <c r="C15" s="3" t="s">
        <v>20</v>
      </c>
      <c r="D15">
        <v>0</v>
      </c>
      <c r="E15">
        <v>0</v>
      </c>
      <c r="F15">
        <v>0</v>
      </c>
      <c r="G15">
        <v>0</v>
      </c>
      <c r="H15">
        <v>0</v>
      </c>
      <c r="I15">
        <v>0</v>
      </c>
      <c r="J15" s="4">
        <v>45833</v>
      </c>
      <c r="K15" s="3" t="s">
        <v>15</v>
      </c>
    </row>
    <row r="16" spans="1:11" x14ac:dyDescent="0.35">
      <c r="A16">
        <v>15</v>
      </c>
      <c r="B16" s="3" t="s">
        <v>17</v>
      </c>
      <c r="C16" s="3" t="s">
        <v>18</v>
      </c>
      <c r="D16">
        <v>56</v>
      </c>
      <c r="E16">
        <v>149</v>
      </c>
      <c r="F16">
        <v>100</v>
      </c>
      <c r="G16">
        <v>130</v>
      </c>
      <c r="H16">
        <v>35</v>
      </c>
      <c r="I16">
        <v>120</v>
      </c>
      <c r="J16" s="4">
        <v>45833</v>
      </c>
      <c r="K16" s="3" t="s">
        <v>22</v>
      </c>
    </row>
    <row r="17" spans="1:11" x14ac:dyDescent="0.35">
      <c r="A17">
        <v>16</v>
      </c>
      <c r="B17" s="3" t="s">
        <v>17</v>
      </c>
      <c r="C17" s="3" t="s">
        <v>18</v>
      </c>
      <c r="D17">
        <v>56</v>
      </c>
      <c r="E17">
        <v>149</v>
      </c>
      <c r="F17">
        <v>100</v>
      </c>
      <c r="G17">
        <v>130</v>
      </c>
      <c r="H17">
        <v>35</v>
      </c>
      <c r="I17">
        <v>120</v>
      </c>
      <c r="J17" s="4">
        <v>45833</v>
      </c>
      <c r="K17" s="3" t="s">
        <v>22</v>
      </c>
    </row>
    <row r="18" spans="1:11" x14ac:dyDescent="0.35">
      <c r="A18">
        <v>17</v>
      </c>
      <c r="B18" s="3" t="s">
        <v>17</v>
      </c>
      <c r="C18" s="3" t="s">
        <v>18</v>
      </c>
      <c r="D18">
        <v>56</v>
      </c>
      <c r="E18">
        <v>149</v>
      </c>
      <c r="F18">
        <v>100</v>
      </c>
      <c r="G18">
        <v>130</v>
      </c>
      <c r="H18">
        <v>35</v>
      </c>
      <c r="I18">
        <v>120</v>
      </c>
      <c r="J18" s="4">
        <v>45833</v>
      </c>
      <c r="K18" s="3" t="s">
        <v>22</v>
      </c>
    </row>
    <row r="19" spans="1:11" x14ac:dyDescent="0.35">
      <c r="A19">
        <v>18</v>
      </c>
      <c r="B19" s="3" t="s">
        <v>23</v>
      </c>
      <c r="C19" s="3" t="s">
        <v>24</v>
      </c>
      <c r="D19">
        <v>23</v>
      </c>
      <c r="E19">
        <v>150</v>
      </c>
      <c r="F19">
        <v>90</v>
      </c>
      <c r="G19">
        <v>130</v>
      </c>
      <c r="H19">
        <v>35</v>
      </c>
      <c r="I19">
        <v>120</v>
      </c>
      <c r="J19" s="4">
        <v>45834</v>
      </c>
      <c r="K19" s="3" t="s">
        <v>16</v>
      </c>
    </row>
    <row r="20" spans="1:11" x14ac:dyDescent="0.35">
      <c r="A20">
        <v>19</v>
      </c>
      <c r="B20" s="3" t="s">
        <v>20</v>
      </c>
      <c r="C20" s="3" t="s">
        <v>20</v>
      </c>
      <c r="D20">
        <v>0</v>
      </c>
      <c r="E20">
        <v>0</v>
      </c>
      <c r="F20">
        <v>0</v>
      </c>
      <c r="G20">
        <v>0</v>
      </c>
      <c r="H20">
        <v>0</v>
      </c>
      <c r="I20">
        <v>0</v>
      </c>
      <c r="J20" s="4">
        <v>45834</v>
      </c>
      <c r="K20" s="3" t="s">
        <v>15</v>
      </c>
    </row>
    <row r="21" spans="1:11" x14ac:dyDescent="0.35">
      <c r="A21">
        <v>20</v>
      </c>
      <c r="B21" s="3" t="s">
        <v>20</v>
      </c>
      <c r="C21" s="3" t="s">
        <v>20</v>
      </c>
      <c r="D21">
        <v>0</v>
      </c>
      <c r="E21">
        <v>0</v>
      </c>
      <c r="F21">
        <v>0</v>
      </c>
      <c r="G21">
        <v>0</v>
      </c>
      <c r="H21">
        <v>0</v>
      </c>
      <c r="I21">
        <v>0</v>
      </c>
      <c r="J21" s="4">
        <v>45834</v>
      </c>
      <c r="K21" s="3" t="s">
        <v>15</v>
      </c>
    </row>
    <row r="22" spans="1:11" x14ac:dyDescent="0.35">
      <c r="A22">
        <v>21</v>
      </c>
      <c r="B22" s="3" t="s">
        <v>20</v>
      </c>
      <c r="C22" s="3" t="s">
        <v>20</v>
      </c>
      <c r="D22">
        <v>0</v>
      </c>
      <c r="E22">
        <v>0</v>
      </c>
      <c r="F22">
        <v>0</v>
      </c>
      <c r="G22">
        <v>0</v>
      </c>
      <c r="H22">
        <v>0</v>
      </c>
      <c r="I22">
        <v>0</v>
      </c>
      <c r="J22" s="4">
        <v>45834</v>
      </c>
      <c r="K22" s="3" t="s">
        <v>15</v>
      </c>
    </row>
    <row r="23" spans="1:11" x14ac:dyDescent="0.35">
      <c r="A23">
        <v>22</v>
      </c>
      <c r="B23" s="3" t="s">
        <v>20</v>
      </c>
      <c r="C23" s="3" t="s">
        <v>20</v>
      </c>
      <c r="D23">
        <v>0</v>
      </c>
      <c r="E23">
        <v>0</v>
      </c>
      <c r="F23">
        <v>0</v>
      </c>
      <c r="G23">
        <v>0</v>
      </c>
      <c r="H23">
        <v>0</v>
      </c>
      <c r="I23">
        <v>0</v>
      </c>
      <c r="J23" s="4">
        <v>45834</v>
      </c>
      <c r="K23" s="3" t="s">
        <v>15</v>
      </c>
    </row>
    <row r="24" spans="1:11" x14ac:dyDescent="0.35">
      <c r="A24">
        <v>23</v>
      </c>
      <c r="B24" s="3" t="s">
        <v>20</v>
      </c>
      <c r="C24" s="3" t="s">
        <v>20</v>
      </c>
      <c r="D24">
        <v>0</v>
      </c>
      <c r="E24">
        <v>0</v>
      </c>
      <c r="F24">
        <v>0</v>
      </c>
      <c r="G24">
        <v>0</v>
      </c>
      <c r="H24">
        <v>0</v>
      </c>
      <c r="I24">
        <v>0</v>
      </c>
      <c r="J24" s="4">
        <v>45834</v>
      </c>
      <c r="K24" s="3" t="s">
        <v>15</v>
      </c>
    </row>
    <row r="25" spans="1:11" x14ac:dyDescent="0.35">
      <c r="A25">
        <v>24</v>
      </c>
      <c r="B25" s="3" t="s">
        <v>20</v>
      </c>
      <c r="C25" s="3" t="s">
        <v>20</v>
      </c>
      <c r="D25">
        <v>0</v>
      </c>
      <c r="E25">
        <v>0</v>
      </c>
      <c r="F25">
        <v>0</v>
      </c>
      <c r="G25">
        <v>0</v>
      </c>
      <c r="H25">
        <v>0</v>
      </c>
      <c r="I25">
        <v>0</v>
      </c>
      <c r="J25" s="4">
        <v>45834</v>
      </c>
      <c r="K25" s="3" t="s">
        <v>15</v>
      </c>
    </row>
    <row r="26" spans="1:11" x14ac:dyDescent="0.35">
      <c r="A26">
        <v>25</v>
      </c>
      <c r="B26" s="3" t="s">
        <v>20</v>
      </c>
      <c r="C26" s="3" t="s">
        <v>20</v>
      </c>
      <c r="D26">
        <v>0</v>
      </c>
      <c r="E26">
        <v>0</v>
      </c>
      <c r="F26">
        <v>0</v>
      </c>
      <c r="G26">
        <v>0</v>
      </c>
      <c r="H26">
        <v>0</v>
      </c>
      <c r="I26">
        <v>0</v>
      </c>
      <c r="J26" s="4">
        <v>45834</v>
      </c>
      <c r="K26" s="3" t="s">
        <v>15</v>
      </c>
    </row>
    <row r="27" spans="1:11" x14ac:dyDescent="0.35">
      <c r="A27">
        <v>26</v>
      </c>
      <c r="B27" s="3" t="s">
        <v>20</v>
      </c>
      <c r="C27" s="3" t="s">
        <v>20</v>
      </c>
      <c r="D27">
        <v>0</v>
      </c>
      <c r="E27">
        <v>0</v>
      </c>
      <c r="F27">
        <v>0</v>
      </c>
      <c r="G27">
        <v>0</v>
      </c>
      <c r="H27">
        <v>0</v>
      </c>
      <c r="I27">
        <v>0</v>
      </c>
      <c r="J27" s="4">
        <v>45834</v>
      </c>
      <c r="K27" s="3" t="s">
        <v>15</v>
      </c>
    </row>
    <row r="28" spans="1:11" x14ac:dyDescent="0.35">
      <c r="A28">
        <v>27</v>
      </c>
      <c r="B28" s="3" t="s">
        <v>26</v>
      </c>
      <c r="C28" s="3" t="s">
        <v>27</v>
      </c>
      <c r="D28">
        <v>46</v>
      </c>
      <c r="E28">
        <v>160</v>
      </c>
      <c r="F28">
        <v>97</v>
      </c>
      <c r="G28">
        <v>120</v>
      </c>
      <c r="H28">
        <v>39</v>
      </c>
      <c r="I28">
        <v>100</v>
      </c>
      <c r="J28" s="4">
        <v>45834</v>
      </c>
      <c r="K28" s="3" t="s">
        <v>16</v>
      </c>
    </row>
    <row r="29" spans="1:11" x14ac:dyDescent="0.35">
      <c r="A29">
        <v>28</v>
      </c>
      <c r="B29" s="3" t="s">
        <v>26</v>
      </c>
      <c r="C29" s="3" t="s">
        <v>27</v>
      </c>
      <c r="D29">
        <v>46</v>
      </c>
      <c r="E29">
        <v>160</v>
      </c>
      <c r="F29">
        <v>97</v>
      </c>
      <c r="G29">
        <v>120</v>
      </c>
      <c r="H29">
        <v>39</v>
      </c>
      <c r="I29">
        <v>100</v>
      </c>
      <c r="J29" s="4">
        <v>45834</v>
      </c>
      <c r="K29" s="3" t="s">
        <v>16</v>
      </c>
    </row>
    <row r="30" spans="1:11" x14ac:dyDescent="0.35">
      <c r="A30">
        <v>29</v>
      </c>
      <c r="B30" s="3" t="s">
        <v>26</v>
      </c>
      <c r="C30" s="3" t="s">
        <v>27</v>
      </c>
      <c r="D30">
        <v>46</v>
      </c>
      <c r="E30">
        <v>160</v>
      </c>
      <c r="F30">
        <v>97</v>
      </c>
      <c r="G30">
        <v>120</v>
      </c>
      <c r="H30">
        <v>39</v>
      </c>
      <c r="I30">
        <v>100</v>
      </c>
      <c r="J30" s="4">
        <v>45834</v>
      </c>
      <c r="K30" s="3" t="s">
        <v>16</v>
      </c>
    </row>
    <row r="31" spans="1:11" x14ac:dyDescent="0.35">
      <c r="A31">
        <v>30</v>
      </c>
      <c r="B31" s="3" t="s">
        <v>28</v>
      </c>
      <c r="C31" s="3" t="s">
        <v>29</v>
      </c>
      <c r="D31">
        <v>53</v>
      </c>
      <c r="E31">
        <v>150</v>
      </c>
      <c r="F31">
        <v>97</v>
      </c>
      <c r="G31">
        <v>128</v>
      </c>
      <c r="H31">
        <v>37</v>
      </c>
      <c r="I31">
        <v>100</v>
      </c>
      <c r="J31" s="4">
        <v>45834</v>
      </c>
      <c r="K31" s="3" t="s">
        <v>22</v>
      </c>
    </row>
    <row r="32" spans="1:11" x14ac:dyDescent="0.35">
      <c r="A32">
        <v>31</v>
      </c>
      <c r="B32" s="3" t="s">
        <v>30</v>
      </c>
      <c r="C32" s="3" t="s">
        <v>31</v>
      </c>
      <c r="D32">
        <v>13</v>
      </c>
      <c r="E32">
        <v>120</v>
      </c>
      <c r="F32">
        <v>79</v>
      </c>
      <c r="G32">
        <v>100</v>
      </c>
      <c r="H32">
        <v>36</v>
      </c>
      <c r="I32">
        <v>100</v>
      </c>
      <c r="J32" s="4">
        <v>45834</v>
      </c>
      <c r="K32" s="3" t="s">
        <v>15</v>
      </c>
    </row>
    <row r="33" spans="1:11" x14ac:dyDescent="0.35">
      <c r="A33">
        <v>32</v>
      </c>
      <c r="B33" s="3" t="s">
        <v>49</v>
      </c>
      <c r="C33" s="3" t="s">
        <v>50</v>
      </c>
      <c r="D33">
        <v>25</v>
      </c>
      <c r="E33">
        <v>122</v>
      </c>
      <c r="F33">
        <v>90</v>
      </c>
      <c r="G33">
        <v>100</v>
      </c>
      <c r="H33">
        <v>77</v>
      </c>
      <c r="I33">
        <v>78</v>
      </c>
      <c r="J33" s="4">
        <v>45834</v>
      </c>
      <c r="K33" s="3" t="s">
        <v>16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1DE9C-FAA8-47E0-9855-965898834731}">
  <sheetPr codeName="Sheet2"/>
  <dimension ref="A1:H25"/>
  <sheetViews>
    <sheetView topLeftCell="A6" workbookViewId="0">
      <selection activeCell="D21" sqref="D21"/>
    </sheetView>
  </sheetViews>
  <sheetFormatPr defaultRowHeight="14.5" x14ac:dyDescent="0.35"/>
  <cols>
    <col min="1" max="1" width="11.08984375" bestFit="1" customWidth="1"/>
    <col min="2" max="2" width="12.1796875" bestFit="1" customWidth="1"/>
    <col min="3" max="3" width="12.36328125" customWidth="1"/>
    <col min="4" max="4" width="11.1796875" bestFit="1" customWidth="1"/>
    <col min="5" max="5" width="16.1796875" bestFit="1" customWidth="1"/>
    <col min="6" max="6" width="19.26953125" bestFit="1" customWidth="1"/>
    <col min="7" max="7" width="18.90625" bestFit="1" customWidth="1"/>
    <col min="8" max="8" width="19.6328125" bestFit="1" customWidth="1"/>
  </cols>
  <sheetData>
    <row r="1" spans="1:8" ht="29" x14ac:dyDescent="0.35">
      <c r="C1" s="15" t="s">
        <v>46</v>
      </c>
      <c r="E1" s="16" t="s">
        <v>47</v>
      </c>
      <c r="F1" s="17" t="s">
        <v>48</v>
      </c>
    </row>
    <row r="2" spans="1:8" x14ac:dyDescent="0.35">
      <c r="C2">
        <f>COUNTA(MaternalHealth_Extended__2[Surname])</f>
        <v>32</v>
      </c>
      <c r="E2" s="10">
        <f>AVERAGE(MaternalHealth_Extended__2[Age])</f>
        <v>22.71875</v>
      </c>
      <c r="F2">
        <f>COUNTA(_xlfn.UNIQUE(MaternalHealth_Extended__2[RiskLevel]))</f>
        <v>3</v>
      </c>
    </row>
    <row r="3" spans="1:8" s="14" customFormat="1" x14ac:dyDescent="0.35"/>
    <row r="4" spans="1:8" x14ac:dyDescent="0.35">
      <c r="A4" s="12" t="s">
        <v>38</v>
      </c>
      <c r="B4" s="12"/>
      <c r="D4" s="12" t="s">
        <v>39</v>
      </c>
      <c r="E4" s="12"/>
    </row>
    <row r="5" spans="1:8" x14ac:dyDescent="0.35">
      <c r="A5" s="8" t="s">
        <v>21</v>
      </c>
      <c r="B5" t="s">
        <v>32</v>
      </c>
      <c r="D5" s="8" t="s">
        <v>21</v>
      </c>
      <c r="E5" t="s">
        <v>33</v>
      </c>
    </row>
    <row r="6" spans="1:8" x14ac:dyDescent="0.35">
      <c r="A6" s="9" t="s">
        <v>22</v>
      </c>
      <c r="B6" s="3">
        <v>1</v>
      </c>
      <c r="D6" s="9" t="s">
        <v>22</v>
      </c>
      <c r="E6" s="10">
        <v>53</v>
      </c>
    </row>
    <row r="7" spans="1:8" x14ac:dyDescent="0.35">
      <c r="A7" s="9" t="s">
        <v>15</v>
      </c>
      <c r="B7" s="3">
        <v>9</v>
      </c>
      <c r="D7" s="9" t="s">
        <v>15</v>
      </c>
      <c r="E7" s="10">
        <v>1.4444444444444444</v>
      </c>
    </row>
    <row r="8" spans="1:8" x14ac:dyDescent="0.35">
      <c r="A8" s="9" t="s">
        <v>16</v>
      </c>
      <c r="B8" s="3">
        <v>4</v>
      </c>
      <c r="D8" s="9" t="s">
        <v>16</v>
      </c>
      <c r="E8" s="10">
        <v>40.25</v>
      </c>
    </row>
    <row r="9" spans="1:8" x14ac:dyDescent="0.35">
      <c r="A9" s="9" t="s">
        <v>19</v>
      </c>
      <c r="B9" s="3">
        <v>14</v>
      </c>
      <c r="D9" s="9" t="s">
        <v>19</v>
      </c>
      <c r="E9" s="10">
        <v>16.214285714285715</v>
      </c>
    </row>
    <row r="12" spans="1:8" x14ac:dyDescent="0.35">
      <c r="A12" s="12" t="s">
        <v>40</v>
      </c>
      <c r="B12" s="12"/>
      <c r="D12" s="12" t="s">
        <v>42</v>
      </c>
      <c r="E12" s="12"/>
      <c r="F12" s="12"/>
      <c r="G12" s="12"/>
      <c r="H12" s="12"/>
    </row>
    <row r="13" spans="1:8" x14ac:dyDescent="0.35">
      <c r="A13" s="8" t="s">
        <v>21</v>
      </c>
      <c r="B13" t="s">
        <v>34</v>
      </c>
      <c r="D13" s="8" t="s">
        <v>21</v>
      </c>
      <c r="E13" t="s">
        <v>35</v>
      </c>
      <c r="F13" t="s">
        <v>37</v>
      </c>
      <c r="G13" t="s">
        <v>43</v>
      </c>
      <c r="H13" t="s">
        <v>36</v>
      </c>
    </row>
    <row r="14" spans="1:8" x14ac:dyDescent="0.35">
      <c r="A14" s="9" t="s">
        <v>22</v>
      </c>
      <c r="B14" s="10">
        <v>128</v>
      </c>
      <c r="D14" s="9" t="s">
        <v>22</v>
      </c>
      <c r="E14" s="10">
        <v>150</v>
      </c>
      <c r="F14" s="10">
        <v>37</v>
      </c>
      <c r="G14" s="10">
        <v>100</v>
      </c>
      <c r="H14" s="10">
        <v>97</v>
      </c>
    </row>
    <row r="15" spans="1:8" x14ac:dyDescent="0.35">
      <c r="A15" s="9" t="s">
        <v>15</v>
      </c>
      <c r="B15" s="10">
        <v>11.111111111111111</v>
      </c>
      <c r="D15" s="9" t="s">
        <v>15</v>
      </c>
      <c r="E15" s="10">
        <v>13.333333333333334</v>
      </c>
      <c r="F15" s="10">
        <v>4</v>
      </c>
      <c r="G15" s="10">
        <v>11.111111111111111</v>
      </c>
      <c r="H15" s="10">
        <v>8.7777777777777786</v>
      </c>
    </row>
    <row r="16" spans="1:8" x14ac:dyDescent="0.35">
      <c r="A16" s="9" t="s">
        <v>16</v>
      </c>
      <c r="B16" s="10">
        <v>122.5</v>
      </c>
      <c r="D16" s="9" t="s">
        <v>16</v>
      </c>
      <c r="E16" s="10">
        <v>157.5</v>
      </c>
      <c r="F16" s="10">
        <v>38</v>
      </c>
      <c r="G16" s="10">
        <v>105</v>
      </c>
      <c r="H16" s="10">
        <v>95.25</v>
      </c>
    </row>
    <row r="17" spans="1:8" x14ac:dyDescent="0.35">
      <c r="A17" s="9" t="s">
        <v>19</v>
      </c>
      <c r="B17" s="10">
        <v>51.285714285714285</v>
      </c>
      <c r="D17" s="9" t="s">
        <v>19</v>
      </c>
      <c r="E17" s="10">
        <v>64.285714285714292</v>
      </c>
      <c r="F17" s="10">
        <v>16.071428571428573</v>
      </c>
      <c r="G17" s="10">
        <v>44.285714285714285</v>
      </c>
      <c r="H17" s="10">
        <v>39.785714285714285</v>
      </c>
    </row>
    <row r="20" spans="1:8" x14ac:dyDescent="0.35">
      <c r="A20" s="12" t="s">
        <v>41</v>
      </c>
      <c r="B20" s="12"/>
      <c r="D20" s="12" t="s">
        <v>45</v>
      </c>
      <c r="E20" s="12"/>
    </row>
    <row r="21" spans="1:8" x14ac:dyDescent="0.35">
      <c r="A21" s="8" t="s">
        <v>21</v>
      </c>
      <c r="B21" t="s">
        <v>37</v>
      </c>
      <c r="D21" s="8" t="s">
        <v>44</v>
      </c>
      <c r="E21" t="s">
        <v>32</v>
      </c>
    </row>
    <row r="22" spans="1:8" x14ac:dyDescent="0.35">
      <c r="A22" s="9" t="s">
        <v>22</v>
      </c>
      <c r="B22" s="10">
        <v>37</v>
      </c>
      <c r="D22" s="13">
        <v>45834</v>
      </c>
      <c r="E22" s="3">
        <v>14</v>
      </c>
    </row>
    <row r="23" spans="1:8" x14ac:dyDescent="0.35">
      <c r="A23" s="9" t="s">
        <v>15</v>
      </c>
      <c r="B23" s="10">
        <v>4</v>
      </c>
      <c r="D23" s="13" t="s">
        <v>19</v>
      </c>
      <c r="E23" s="3">
        <v>14</v>
      </c>
    </row>
    <row r="24" spans="1:8" x14ac:dyDescent="0.35">
      <c r="A24" s="9" t="s">
        <v>16</v>
      </c>
      <c r="B24" s="10">
        <v>38</v>
      </c>
    </row>
    <row r="25" spans="1:8" x14ac:dyDescent="0.35">
      <c r="A25" s="9" t="s">
        <v>19</v>
      </c>
      <c r="B25" s="10">
        <v>16.071428571428573</v>
      </c>
    </row>
  </sheetData>
  <mergeCells count="6">
    <mergeCell ref="A4:B4"/>
    <mergeCell ref="D4:E4"/>
    <mergeCell ref="A12:B12"/>
    <mergeCell ref="A20:B20"/>
    <mergeCell ref="D12:H12"/>
    <mergeCell ref="D20:E20"/>
  </mergeCells>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6711D-1059-4560-9317-81A9171B076C}">
  <sheetPr codeName="Sheet5"/>
  <dimension ref="A1:A28"/>
  <sheetViews>
    <sheetView showGridLines="0" topLeftCell="A3" workbookViewId="0">
      <selection activeCell="T9" sqref="T9"/>
    </sheetView>
  </sheetViews>
  <sheetFormatPr defaultRowHeight="14.5" x14ac:dyDescent="0.35"/>
  <sheetData>
    <row r="1" s="18" customFormat="1" x14ac:dyDescent="0.35"/>
    <row r="2" s="18" customFormat="1" x14ac:dyDescent="0.35"/>
    <row r="3" s="18" customFormat="1" x14ac:dyDescent="0.35"/>
    <row r="4" s="18" customFormat="1" x14ac:dyDescent="0.35"/>
    <row r="5" s="18" customFormat="1" x14ac:dyDescent="0.35"/>
    <row r="6" s="18" customFormat="1" x14ac:dyDescent="0.35"/>
    <row r="7" s="18" customFormat="1" x14ac:dyDescent="0.35"/>
    <row r="8" s="18" customFormat="1" x14ac:dyDescent="0.35"/>
    <row r="9" s="18" customFormat="1" x14ac:dyDescent="0.35"/>
    <row r="10" s="18" customFormat="1" x14ac:dyDescent="0.35"/>
    <row r="11" s="18" customFormat="1" x14ac:dyDescent="0.35"/>
    <row r="12" s="18" customFormat="1" x14ac:dyDescent="0.35"/>
    <row r="13" s="18" customFormat="1" x14ac:dyDescent="0.35"/>
    <row r="14" s="18" customFormat="1" x14ac:dyDescent="0.35"/>
    <row r="15" s="18" customFormat="1" x14ac:dyDescent="0.35"/>
    <row r="16" s="18" customFormat="1" x14ac:dyDescent="0.35"/>
    <row r="17" s="18" customFormat="1" x14ac:dyDescent="0.35"/>
    <row r="18" s="18" customFormat="1" x14ac:dyDescent="0.35"/>
    <row r="19" s="18" customFormat="1" x14ac:dyDescent="0.35"/>
    <row r="20" s="18" customFormat="1" x14ac:dyDescent="0.35"/>
    <row r="21" s="18" customFormat="1" x14ac:dyDescent="0.35"/>
    <row r="22" s="18" customFormat="1" x14ac:dyDescent="0.35"/>
    <row r="23" s="18" customFormat="1" x14ac:dyDescent="0.35"/>
    <row r="24" s="18" customFormat="1" x14ac:dyDescent="0.35"/>
    <row r="25" s="18" customFormat="1" x14ac:dyDescent="0.35"/>
    <row r="26" s="18" customFormat="1" x14ac:dyDescent="0.35"/>
    <row r="27" s="18" customFormat="1" x14ac:dyDescent="0.35"/>
    <row r="28" s="18" customFormat="1"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A25C24-7EB5-466C-8FA1-F23AEEDA22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Form</vt:lpstr>
      <vt:lpstr>MaternalHealth_Extended (2)</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Glory Chiamaka Emeh</dc:creator>
  <cp:lastModifiedBy>Glory Chiamaka Emeh</cp:lastModifiedBy>
  <dcterms:created xsi:type="dcterms:W3CDTF">2025-06-25T15:49:59Z</dcterms:created>
  <dcterms:modified xsi:type="dcterms:W3CDTF">2025-06-26T18:01:34Z</dcterms:modified>
</cp:coreProperties>
</file>